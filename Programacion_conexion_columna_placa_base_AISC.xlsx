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cuments\Proyectos python\StructureLab_HFS_CNT\"/>
    </mc:Choice>
  </mc:AlternateContent>
  <xr:revisionPtr revIDLastSave="0" documentId="8_{04C08C34-FC79-4B34-9B78-BC934A53028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ISENO_CONEXION" sheetId="1" r:id="rId1"/>
    <sheet name="PERFILES" sheetId="2" r:id="rId2"/>
    <sheet name="CATALOGOS" sheetId="3" r:id="rId3"/>
    <sheet name="INSTRUCCIO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C126" i="1" l="1"/>
  <c r="K123" i="1"/>
  <c r="C115" i="1"/>
  <c r="K10" i="1"/>
  <c r="L110" i="1"/>
  <c r="C110" i="1"/>
  <c r="C109" i="1"/>
  <c r="C104" i="1"/>
  <c r="F97" i="1"/>
  <c r="C99" i="1"/>
  <c r="C98" i="1"/>
  <c r="C74" i="1"/>
  <c r="C80" i="1"/>
  <c r="C103" i="1"/>
  <c r="K25" i="1"/>
  <c r="K24" i="1"/>
  <c r="K22" i="1"/>
  <c r="K23" i="1" s="1"/>
  <c r="L83" i="1"/>
  <c r="K80" i="1"/>
  <c r="K19" i="1"/>
  <c r="K21" i="1" s="1"/>
  <c r="K118" i="1"/>
  <c r="C164" i="1"/>
  <c r="C165" i="1" s="1"/>
  <c r="C160" i="1"/>
  <c r="C155" i="1"/>
  <c r="C157" i="1" s="1"/>
  <c r="C158" i="1" s="1"/>
  <c r="C136" i="1"/>
  <c r="C135" i="1"/>
  <c r="C131" i="1"/>
  <c r="C130" i="1"/>
  <c r="C129" i="1"/>
  <c r="C123" i="1"/>
  <c r="C122" i="1"/>
  <c r="C108" i="1"/>
  <c r="C105" i="1"/>
  <c r="C102" i="1"/>
  <c r="C92" i="1"/>
  <c r="C91" i="1"/>
  <c r="C81" i="1"/>
  <c r="C61" i="1"/>
  <c r="C62" i="1" s="1"/>
  <c r="G79" i="1" s="1"/>
  <c r="C40" i="1"/>
  <c r="C39" i="1"/>
  <c r="C38" i="1"/>
  <c r="C37" i="1"/>
  <c r="C36" i="1"/>
  <c r="C35" i="1"/>
  <c r="C45" i="1" s="1"/>
  <c r="C34" i="1"/>
  <c r="C127" i="1" l="1"/>
  <c r="C53" i="1"/>
  <c r="C22" i="1"/>
  <c r="C44" i="1"/>
  <c r="C41" i="1"/>
  <c r="C106" i="1"/>
  <c r="C83" i="1"/>
  <c r="C71" i="1"/>
  <c r="C72" i="1" s="1"/>
  <c r="C55" i="1"/>
  <c r="C70" i="1" s="1"/>
  <c r="C54" i="1"/>
  <c r="C60" i="1" s="1"/>
  <c r="C63" i="1" s="1"/>
  <c r="C43" i="1"/>
  <c r="C151" i="1"/>
  <c r="C42" i="1"/>
  <c r="C166" i="1"/>
  <c r="C167" i="1"/>
  <c r="C57" i="1" l="1"/>
  <c r="C56" i="1"/>
  <c r="C58" i="1" s="1"/>
  <c r="J16" i="1"/>
  <c r="C107" i="1"/>
  <c r="C75" i="1"/>
  <c r="C68" i="1"/>
  <c r="C64" i="1"/>
  <c r="C76" i="1"/>
  <c r="C73" i="1"/>
  <c r="C170" i="1"/>
  <c r="C173" i="1"/>
  <c r="C132" i="1" l="1"/>
  <c r="C133" i="1" s="1"/>
  <c r="C134" i="1" s="1"/>
  <c r="C138" i="1"/>
  <c r="C139" i="1" s="1"/>
  <c r="C152" i="1"/>
  <c r="C154" i="1" s="1"/>
  <c r="C181" i="1" s="1"/>
  <c r="C156" i="1"/>
  <c r="C116" i="1"/>
  <c r="C117" i="1" s="1"/>
  <c r="C77" i="1"/>
  <c r="C66" i="1"/>
  <c r="C65" i="1"/>
  <c r="C67" i="1"/>
  <c r="C161" i="1" l="1"/>
  <c r="C162" i="1" s="1"/>
  <c r="C159" i="1"/>
  <c r="C182" i="1" s="1"/>
  <c r="C78" i="1"/>
  <c r="C124" i="1" s="1"/>
  <c r="C125" i="1" s="1"/>
  <c r="C79" i="1"/>
  <c r="C82" i="1" l="1"/>
  <c r="C85" i="1"/>
  <c r="C86" i="1" l="1"/>
  <c r="C88" i="1" s="1"/>
  <c r="C176" i="1" s="1"/>
  <c r="C97" i="1"/>
  <c r="C163" i="1"/>
  <c r="C168" i="1" s="1"/>
  <c r="C137" i="1"/>
  <c r="C140" i="1" s="1"/>
  <c r="C141" i="1" s="1"/>
  <c r="C142" i="1" s="1"/>
  <c r="C84" i="1"/>
  <c r="C100" i="1"/>
  <c r="C177" i="1" s="1"/>
  <c r="C118" i="1"/>
  <c r="C178" i="1" s="1"/>
  <c r="C179" i="1" l="1"/>
  <c r="C169" i="1"/>
  <c r="C171" i="1" s="1"/>
  <c r="C172" i="1"/>
  <c r="C174" i="1" s="1"/>
  <c r="C145" i="1"/>
  <c r="C146" i="1" s="1"/>
  <c r="C147" i="1" s="1"/>
  <c r="C143" i="1"/>
  <c r="C144" i="1" s="1"/>
  <c r="C148" i="1"/>
  <c r="C149" i="1" s="1"/>
  <c r="C183" i="1" l="1"/>
  <c r="C180" i="1"/>
  <c r="C184" i="1" l="1"/>
</calcChain>
</file>

<file path=xl/sharedStrings.xml><?xml version="1.0" encoding="utf-8"?>
<sst xmlns="http://schemas.openxmlformats.org/spreadsheetml/2006/main" count="950" uniqueCount="626">
  <si>
    <t>CONEXIÓN COLUMNA - PLACA BASE AXIAL + MOMENTO</t>
  </si>
  <si>
    <t>Celdas amarillas = entradas editables | Celdas azules = fórmulas | Unidades base: N, kN, mm, MPa</t>
  </si>
  <si>
    <t>1. DATOS GENERALES Y ENTRADAS</t>
  </si>
  <si>
    <t>Entrada</t>
  </si>
  <si>
    <t>Perfil columna</t>
  </si>
  <si>
    <t>W18X175</t>
  </si>
  <si>
    <t>Lista desplegable desde PERFILES</t>
  </si>
  <si>
    <t>Perfil W del catálogo.</t>
  </si>
  <si>
    <t>Fy perfil</t>
  </si>
  <si>
    <t>MPa</t>
  </si>
  <si>
    <t>Acero del perfil</t>
  </si>
  <si>
    <t>ASTM A572 Gr.50 en el ejemplo.</t>
  </si>
  <si>
    <t>Ry</t>
  </si>
  <si>
    <t>-</t>
  </si>
  <si>
    <t>Factor de sobrerresistencia esperada</t>
  </si>
  <si>
    <t>Fy placa base</t>
  </si>
  <si>
    <t>Acero de la placa base</t>
  </si>
  <si>
    <t>ASTM A36 en el ejemplo.</t>
  </si>
  <si>
    <t>Fu placa/arandelas</t>
  </si>
  <si>
    <t>Acero de otras placas/arandelas</t>
  </si>
  <si>
    <t>f'c concreto</t>
  </si>
  <si>
    <t>Resistencia del concreto pedestal</t>
  </si>
  <si>
    <t>phi aplastamiento</t>
  </si>
  <si>
    <t>Factor para aplastamiento en concreto</t>
  </si>
  <si>
    <t>B placa</t>
  </si>
  <si>
    <t>mm</t>
  </si>
  <si>
    <t>Ancho de placa</t>
  </si>
  <si>
    <t>Dimensión transversal.</t>
  </si>
  <si>
    <t>N placa</t>
  </si>
  <si>
    <t>Longitud de placa en eje de flexión</t>
  </si>
  <si>
    <t>Dimensión crítica con el momento.</t>
  </si>
  <si>
    <t>Distancia borde placa - eje anclaje</t>
  </si>
  <si>
    <t>Pedestal mayor que la placa por borde</t>
  </si>
  <si>
    <t>hef anclaje</t>
  </si>
  <si>
    <t>Profundidad efectiva de anclaje</t>
  </si>
  <si>
    <t>Desde concreto sano hasta cabeza/tuerca embebida.</t>
  </si>
  <si>
    <t>g grout</t>
  </si>
  <si>
    <t>Espesor de grouting</t>
  </si>
  <si>
    <t>FEXX soldadura</t>
  </si>
  <si>
    <t>Electrodo de soldadura</t>
  </si>
  <si>
    <t>E70 aprox.</t>
  </si>
  <si>
    <t>H columna</t>
  </si>
  <si>
    <t>Altura libre para cortante probable</t>
  </si>
  <si>
    <t>Z cortante</t>
  </si>
  <si>
    <t>mm³</t>
  </si>
  <si>
    <t>Módulo plástico para cálculo de cortante</t>
  </si>
  <si>
    <t>En el ejemplo del video se usa 3.292E6 mm³.</t>
  </si>
  <si>
    <t>Rigidizadores/placas laterales</t>
  </si>
  <si>
    <t>Sí</t>
  </si>
  <si>
    <t>Si Sí, gobierna m; si No, gobierna MAX(m,n)</t>
  </si>
  <si>
    <t>Modo llave de corte</t>
  </si>
  <si>
    <t>Automático</t>
  </si>
  <si>
    <t>Automático / Sí / No</t>
  </si>
  <si>
    <t>Automático diseña llave si los pernos no cumplen cortante+tensión+flexión.</t>
  </si>
  <si>
    <t>b llave corte</t>
  </si>
  <si>
    <t>Ancho propuesto de llave</t>
  </si>
  <si>
    <t>c llave suministrada</t>
  </si>
  <si>
    <t>Altura embebida de llave</t>
  </si>
  <si>
    <t>t llave suministrada</t>
  </si>
  <si>
    <t>Espesor suministrado de llave</t>
  </si>
  <si>
    <t>1-3/4 pulg en el ejemplo.</t>
  </si>
  <si>
    <t>b arandela</t>
  </si>
  <si>
    <t>Placa arandela cuadrada</t>
  </si>
  <si>
    <t>t arandela</t>
  </si>
  <si>
    <t>Espesor de placa arandela</t>
  </si>
  <si>
    <t>1/2 pulg en el ejemplo.</t>
  </si>
  <si>
    <t>w soldadura arandela sum</t>
  </si>
  <si>
    <t>Tamaño suministrado filete arandela</t>
  </si>
  <si>
    <t>1/4 pulg en el ejemplo.</t>
  </si>
  <si>
    <t>b placa cabeza</t>
  </si>
  <si>
    <t>Placa/tuerca de cabeza</t>
  </si>
  <si>
    <t>t placa cabeza</t>
  </si>
  <si>
    <t>Espesor placa de cabeza</t>
  </si>
  <si>
    <t>1 pulg en el ejemplo.</t>
  </si>
  <si>
    <t>2. PROPIEDADES GEOMÉTRICAS DEL PERFIL DE COLUMNA</t>
  </si>
  <si>
    <t>Perfil</t>
  </si>
  <si>
    <t>d</t>
  </si>
  <si>
    <t>INDEX/MATCH desde PERFILES</t>
  </si>
  <si>
    <t>bf</t>
  </si>
  <si>
    <t>tw</t>
  </si>
  <si>
    <t>tf</t>
  </si>
  <si>
    <t>kdes</t>
  </si>
  <si>
    <t>k1</t>
  </si>
  <si>
    <t>Zx columna</t>
  </si>
  <si>
    <t>Geometría</t>
  </si>
  <si>
    <t>m voladizo</t>
  </si>
  <si>
    <t>(N - 0.95 d)/2</t>
  </si>
  <si>
    <t>n voladizo</t>
  </si>
  <si>
    <t>(B - 0.8 bf)/2</t>
  </si>
  <si>
    <t>voladizo diseño</t>
  </si>
  <si>
    <t>m si hay rigidizadores; si no MAX(m,n)</t>
  </si>
  <si>
    <t>N sugerida</t>
  </si>
  <si>
    <t>Redondeo de d+150 a 50 mm</t>
  </si>
  <si>
    <t>Solo informativo.</t>
  </si>
  <si>
    <t>B sugerida</t>
  </si>
  <si>
    <t>Redondeo de bf+150 a 50 mm</t>
  </si>
  <si>
    <t>3. PASO 1 - RESISTENCIAS REQUERIDAS Y COMBINACIONES</t>
  </si>
  <si>
    <t>Combinación</t>
  </si>
  <si>
    <t>Pu axial</t>
  </si>
  <si>
    <t>kN</t>
  </si>
  <si>
    <t>Mayor carga axial con su momento asociado</t>
  </si>
  <si>
    <t>Mu asociado axial</t>
  </si>
  <si>
    <t>kN·m</t>
  </si>
  <si>
    <t>Momento asociado a Pu axial</t>
  </si>
  <si>
    <t>Vu asociado axial</t>
  </si>
  <si>
    <t>Cortante asociado a Pu axial</t>
  </si>
  <si>
    <t>Pu con Mu mayor</t>
  </si>
  <si>
    <t>Carga axial asociada al mayor momento</t>
  </si>
  <si>
    <t>Mu mayor</t>
  </si>
  <si>
    <t>Mayor momento de combinación</t>
  </si>
  <si>
    <t>Vu mayor</t>
  </si>
  <si>
    <t>Cortante mayor de combinación</t>
  </si>
  <si>
    <t>Diseño</t>
  </si>
  <si>
    <t>Mu probable columna</t>
  </si>
  <si>
    <t>1.1 Ry Fy Zx / 1E6</t>
  </si>
  <si>
    <t>Mu diseño axial</t>
  </si>
  <si>
    <t>MIN(Mu asociado, Mu probable)</t>
  </si>
  <si>
    <t>Mu diseño mayor</t>
  </si>
  <si>
    <t>MIN(Mu mayor, Mu probable)</t>
  </si>
  <si>
    <t>Vu limite 2RyFyZ/H</t>
  </si>
  <si>
    <t>2 Ry Fy Z / H</t>
  </si>
  <si>
    <t>Vu minimo 0.7FyZ/H</t>
  </si>
  <si>
    <t>0.7 Fy Z / H</t>
  </si>
  <si>
    <t>Vu diseño</t>
  </si>
  <si>
    <t>MAX(MIN(Vu mayor, límite), mínimo)</t>
  </si>
  <si>
    <t>4. PASOS 2 A 5 - PLACA BASE PARA MAYOR CARGA AXIAL</t>
  </si>
  <si>
    <t>Excentricidad</t>
  </si>
  <si>
    <t>e axial</t>
  </si>
  <si>
    <t>Mu/Pu · 1000</t>
  </si>
  <si>
    <t>Aplastamiento</t>
  </si>
  <si>
    <t>qmax axial</t>
  </si>
  <si>
    <t>N/mm</t>
  </si>
  <si>
    <t>phi·0.85·f'c·B</t>
  </si>
  <si>
    <t>ecrit axial</t>
  </si>
  <si>
    <t>N/2 - Pu/(2qmax)</t>
  </si>
  <si>
    <t>Clasificación</t>
  </si>
  <si>
    <t>tipo axial</t>
  </si>
  <si>
    <t>e &lt;= ecrit → momento pequeño</t>
  </si>
  <si>
    <t>Y axial</t>
  </si>
  <si>
    <t>N - 2e</t>
  </si>
  <si>
    <t>q axial</t>
  </si>
  <si>
    <t>Pu/Y</t>
  </si>
  <si>
    <t>fp axial</t>
  </si>
  <si>
    <t>Pu/(B·Y)</t>
  </si>
  <si>
    <t>Espesor</t>
  </si>
  <si>
    <t>tp req axial</t>
  </si>
  <si>
    <t>1.49·m·sqrt(fp/Fy)</t>
  </si>
  <si>
    <t>Chequeo</t>
  </si>
  <si>
    <t>estado método axial</t>
  </si>
  <si>
    <t>Debe ser momento pequeño para este bloque</t>
  </si>
  <si>
    <t>5. PASOS 6 A 9 - PLACA BASE PARA MAYOR MOMENTO</t>
  </si>
  <si>
    <t>e momento</t>
  </si>
  <si>
    <t>qmax momento</t>
  </si>
  <si>
    <t>ecrit momento</t>
  </si>
  <si>
    <t>tipo momento</t>
  </si>
  <si>
    <t>e &gt; ecrit → momento grande</t>
  </si>
  <si>
    <t>f anclaje</t>
  </si>
  <si>
    <t>N/2 - le</t>
  </si>
  <si>
    <t>Equilibrio</t>
  </si>
  <si>
    <t>LHS solucion</t>
  </si>
  <si>
    <t>mm²</t>
  </si>
  <si>
    <t>(f+N/2)^2</t>
  </si>
  <si>
    <t>RHS solucion</t>
  </si>
  <si>
    <t>2·Pu·(e+f)/qmax</t>
  </si>
  <si>
    <t>sistema solucion</t>
  </si>
  <si>
    <t>LHS &gt;= RHS</t>
  </si>
  <si>
    <t>Y momento</t>
  </si>
  <si>
    <t>Raíz menor de ecuación cuadrática</t>
  </si>
  <si>
    <t>Y raiz mayor</t>
  </si>
  <si>
    <t>Raíz mayor, usualmente ilógica si &gt;N</t>
  </si>
  <si>
    <t>Informativa.</t>
  </si>
  <si>
    <t>Tracción</t>
  </si>
  <si>
    <t>Tu anclajes</t>
  </si>
  <si>
    <t>qmax·Y/1000 - Pu</t>
  </si>
  <si>
    <t>Compresión</t>
  </si>
  <si>
    <t>fp max placa</t>
  </si>
  <si>
    <t>phi·0.85·f'c</t>
  </si>
  <si>
    <t>tp req comp momento</t>
  </si>
  <si>
    <t>1.49·m·sqrt(fpmax/Fy)</t>
  </si>
  <si>
    <t>x traccion placa</t>
  </si>
  <si>
    <t>f - (d - tf)/2</t>
  </si>
  <si>
    <t>Momento</t>
  </si>
  <si>
    <t>Mu voladizo traccion</t>
  </si>
  <si>
    <t>Tu·x/1000</t>
  </si>
  <si>
    <t>tp req tension placa</t>
  </si>
  <si>
    <t>2.11·sqrt(Tu·x/(B·Fy))</t>
  </si>
  <si>
    <t>tp requerido control</t>
  </si>
  <si>
    <t>MAX(axial, compresión, tracción)</t>
  </si>
  <si>
    <t>tp suministrado</t>
  </si>
  <si>
    <t>Espesor comercial de placa base</t>
  </si>
  <si>
    <t>estado placa base</t>
  </si>
  <si>
    <t>tp suministrado &gt;= tp requerido</t>
  </si>
  <si>
    <t>6. PASO 10 - DISEÑO DE ANCLAJES A TRACCIÓN</t>
  </si>
  <si>
    <t>da anclaje</t>
  </si>
  <si>
    <t>Diámetro de barra roscada</t>
  </si>
  <si>
    <t>Anclaje</t>
  </si>
  <si>
    <t>da pulgadas</t>
  </si>
  <si>
    <t>pulg</t>
  </si>
  <si>
    <t>d_a/25.4</t>
  </si>
  <si>
    <t>nt hilos</t>
  </si>
  <si>
    <t>1/pulg</t>
  </si>
  <si>
    <t>VLOOKUP desde CATALOGOS</t>
  </si>
  <si>
    <t>Fu anclaje</t>
  </si>
  <si>
    <t>F1554 Gr.105</t>
  </si>
  <si>
    <t>phi anclaje</t>
  </si>
  <si>
    <t>Factor resistencia</t>
  </si>
  <si>
    <t>n anclajes traccion</t>
  </si>
  <si>
    <t>und</t>
  </si>
  <si>
    <t>Anclajes del lado a tracción</t>
  </si>
  <si>
    <t>n anclajes total</t>
  </si>
  <si>
    <t>Total de anclajes que toman cortante</t>
  </si>
  <si>
    <t>da requerido</t>
  </si>
  <si>
    <t>sqrt(4Tu/(phi·0.75Fu·nπ))</t>
  </si>
  <si>
    <t>AseN</t>
  </si>
  <si>
    <t>π/4·(d-0.9743/nt)^2</t>
  </si>
  <si>
    <t>phiNsa</t>
  </si>
  <si>
    <t>phi·n·AseN·Fu/1000</t>
  </si>
  <si>
    <t>estado acero anclajes</t>
  </si>
  <si>
    <t>phiNsa &gt;= Tu</t>
  </si>
  <si>
    <t>7. ANCLAJE AL CONCRETO - ARRANCAMIENTO Y REFUERZO SUPLEMENTARIO</t>
  </si>
  <si>
    <t>Pedestal</t>
  </si>
  <si>
    <t>N pedestal</t>
  </si>
  <si>
    <t>N + 2·sobresale</t>
  </si>
  <si>
    <t>B pedestal</t>
  </si>
  <si>
    <t>B + 2·sobresale</t>
  </si>
  <si>
    <t>ca min</t>
  </si>
  <si>
    <t>le + sobresale pedestal</t>
  </si>
  <si>
    <t>1.5hef</t>
  </si>
  <si>
    <t>1.5·hef</t>
  </si>
  <si>
    <t>eN prima</t>
  </si>
  <si>
    <t>(1.5hef - ca_min)/2</t>
  </si>
  <si>
    <t>Área</t>
  </si>
  <si>
    <t>ANc</t>
  </si>
  <si>
    <t>(ca_min + 1.5hef)·Bped</t>
  </si>
  <si>
    <t>ANco</t>
  </si>
  <si>
    <t>9·hef²</t>
  </si>
  <si>
    <t>Factor</t>
  </si>
  <si>
    <t>psi ecN</t>
  </si>
  <si>
    <t>1/(1+2eN'/(3hef))</t>
  </si>
  <si>
    <t>psi edN</t>
  </si>
  <si>
    <t>0.7+0.3 ca/(1.5hef)</t>
  </si>
  <si>
    <t>psi cN</t>
  </si>
  <si>
    <t>Factor fisuración</t>
  </si>
  <si>
    <t>1.0 si se controla fisuración bajo servicio.</t>
  </si>
  <si>
    <t>psi cpN</t>
  </si>
  <si>
    <t>Factor post-instalado</t>
  </si>
  <si>
    <t>1.0 para caso del ejemplo.</t>
  </si>
  <si>
    <t>lambda concreto</t>
  </si>
  <si>
    <t>Concreto peso normal</t>
  </si>
  <si>
    <t>kc</t>
  </si>
  <si>
    <t>Anclaje preinstalado</t>
  </si>
  <si>
    <t>Concreto</t>
  </si>
  <si>
    <t>Nb</t>
  </si>
  <si>
    <t>kc·lambda·sqrt(f'c)·hef^1.5/1000</t>
  </si>
  <si>
    <t>Ncbg</t>
  </si>
  <si>
    <t>ANc/ANco·factores·Nb</t>
  </si>
  <si>
    <t>phiNcbg</t>
  </si>
  <si>
    <t>phi·Ncbg</t>
  </si>
  <si>
    <t>estado arrancamiento</t>
  </si>
  <si>
    <t>phiNcbg &gt;= Tu</t>
  </si>
  <si>
    <t>fy refuerzo</t>
  </si>
  <si>
    <t>Acero corrugado</t>
  </si>
  <si>
    <t>phi refuerzo</t>
  </si>
  <si>
    <t>Factor refuerzo</t>
  </si>
  <si>
    <t>barra suplementaria</t>
  </si>
  <si>
    <t>N8</t>
  </si>
  <si>
    <t>Barra para tomar tracción de anclajes</t>
  </si>
  <si>
    <t>Refuerzo</t>
  </si>
  <si>
    <t>db suplemento</t>
  </si>
  <si>
    <t>VLOOKUP barra</t>
  </si>
  <si>
    <t>As barra suplemento</t>
  </si>
  <si>
    <t>cm²</t>
  </si>
  <si>
    <t>As suplemento req</t>
  </si>
  <si>
    <t>Tu/(phi·fy·100)</t>
  </si>
  <si>
    <t>n barras suplemento</t>
  </si>
  <si>
    <t>CEILING(As_req/As_barra)</t>
  </si>
  <si>
    <t>Cantidad por lado/zona de tracción según el criterio del video.</t>
  </si>
  <si>
    <t>Desarrollo</t>
  </si>
  <si>
    <t>ldh calc</t>
  </si>
  <si>
    <t>ACI 318 gancho estándar</t>
  </si>
  <si>
    <t>ldh suministrar</t>
  </si>
  <si>
    <t>Redondeo a 10 mm</t>
  </si>
  <si>
    <t>8. PASO 11 - CORTANTE EN ANCLAJES Y LLAVE DE CORTE</t>
  </si>
  <si>
    <t>Fnt</t>
  </si>
  <si>
    <t>0.75 Fu</t>
  </si>
  <si>
    <t>Fnv</t>
  </si>
  <si>
    <t>0.45 Fu</t>
  </si>
  <si>
    <t>Ag anclaje</t>
  </si>
  <si>
    <t>πd²/4</t>
  </si>
  <si>
    <t>Cortante</t>
  </si>
  <si>
    <t>fuv anclaje</t>
  </si>
  <si>
    <t>Vu/(n_total·Ag)</t>
  </si>
  <si>
    <t>Interacción</t>
  </si>
  <si>
    <t>Fnt prima</t>
  </si>
  <si>
    <t>MIN(1.3Fnt - Fnt/(0.75Fnv)·fuv, Fnt)</t>
  </si>
  <si>
    <t>phiFnt prima</t>
  </si>
  <si>
    <t>phi·Fnt'</t>
  </si>
  <si>
    <t>l brazo anclaje</t>
  </si>
  <si>
    <t>(tp+t_arandela)/2</t>
  </si>
  <si>
    <t>Z anclaje</t>
  </si>
  <si>
    <t>d³/6</t>
  </si>
  <si>
    <t>fta anclaje</t>
  </si>
  <si>
    <t>Tu/(n_tracción·Ag)</t>
  </si>
  <si>
    <t>Mtb anclaje</t>
  </si>
  <si>
    <t>N·mm</t>
  </si>
  <si>
    <t>Vu·l/n_total</t>
  </si>
  <si>
    <t>ftb anclaje</t>
  </si>
  <si>
    <t>Mtb/Z</t>
  </si>
  <si>
    <t>ft total anclaje</t>
  </si>
  <si>
    <t>fta + ftb</t>
  </si>
  <si>
    <t>estado pernos combinado</t>
  </si>
  <si>
    <t>phiFnt' &gt;= ft total</t>
  </si>
  <si>
    <t>Llave</t>
  </si>
  <si>
    <t>llave requerida</t>
  </si>
  <si>
    <t>Automático si pernos no cumplen</t>
  </si>
  <si>
    <t>c llave requerido</t>
  </si>
  <si>
    <t>Vu/(phi·0.85f'c·b)</t>
  </si>
  <si>
    <t>estado c llave</t>
  </si>
  <si>
    <t>c suministrada &gt;= c requerida</t>
  </si>
  <si>
    <t>Mu llave</t>
  </si>
  <si>
    <t>Vu·(g+c/2)</t>
  </si>
  <si>
    <t>t llave requerido</t>
  </si>
  <si>
    <t>2·sqrt(Mu/(phi_b·b·Fy))</t>
  </si>
  <si>
    <t>estado t llave</t>
  </si>
  <si>
    <t>t suministrada &gt;= t requerida</t>
  </si>
  <si>
    <t>Se acepta aproximación comercial ±2 mm para reproducir el criterio del video; para diseño definitivo puede exigirse t &gt;= t_req.</t>
  </si>
  <si>
    <t>phiVn llave</t>
  </si>
  <si>
    <t>1.0·0.6Fy·b·t/1000</t>
  </si>
  <si>
    <t>estado cortante llave</t>
  </si>
  <si>
    <t>phiVn &gt;= Vu</t>
  </si>
  <si>
    <t>9. PASOS 12 A 15 - SOLDADURAS, ARANDELAS Y PLACA DE CABEZA</t>
  </si>
  <si>
    <t>Soldadura alma</t>
  </si>
  <si>
    <t>le sold alma</t>
  </si>
  <si>
    <t>d - 2 kdes</t>
  </si>
  <si>
    <t>w req alma</t>
  </si>
  <si>
    <t>Vu/(0.318·2·l·FEXX)</t>
  </si>
  <si>
    <t>w alma suministrada</t>
  </si>
  <si>
    <t>Tamaño suministrado filete alma</t>
  </si>
  <si>
    <t>5/16 pulg en el ejemplo.</t>
  </si>
  <si>
    <t>estado sold alma</t>
  </si>
  <si>
    <t>w suministrada &gt;= max(w_req, w_min)</t>
  </si>
  <si>
    <t>Alas con CJP según imagen/procedimiento.</t>
  </si>
  <si>
    <t>Arandela</t>
  </si>
  <si>
    <t>dh arandela</t>
  </si>
  <si>
    <t>VLOOKUP por diámetro de anclaje</t>
  </si>
  <si>
    <t>vu por anclaje</t>
  </si>
  <si>
    <t>Vu/n_total</t>
  </si>
  <si>
    <t>Lc arandela</t>
  </si>
  <si>
    <t>(b - dh)/2</t>
  </si>
  <si>
    <t>phiRn arandela</t>
  </si>
  <si>
    <t>0.75·1.5·Lc·t·Fu/1000</t>
  </si>
  <si>
    <t>Desgarramiento gobierna si Lc&lt;2da.</t>
  </si>
  <si>
    <t>estado arandela</t>
  </si>
  <si>
    <t>phiRn &gt;= vu</t>
  </si>
  <si>
    <t>Soldadura arandela</t>
  </si>
  <si>
    <t>le sold arandela</t>
  </si>
  <si>
    <t>2·b</t>
  </si>
  <si>
    <t>w req arandela</t>
  </si>
  <si>
    <t>vu/(0.318·l·FEXX)</t>
  </si>
  <si>
    <t>estado sold arandela</t>
  </si>
  <si>
    <t>w suministrada &gt;= max(w_req, 6.35)</t>
  </si>
  <si>
    <t>Cabeza anclaje</t>
  </si>
  <si>
    <t>tu por anclaje</t>
  </si>
  <si>
    <t>Tu/n_tracción</t>
  </si>
  <si>
    <t>F tuerca</t>
  </si>
  <si>
    <t>l vol cabeza</t>
  </si>
  <si>
    <t>b/2 - F/2</t>
  </si>
  <si>
    <t>Ah cabeza</t>
  </si>
  <si>
    <t>π·dh²/4</t>
  </si>
  <si>
    <t>b prima cabeza</t>
  </si>
  <si>
    <t>b - dh</t>
  </si>
  <si>
    <t>wu cabeza</t>
  </si>
  <si>
    <t>tu·b/(b²-Ah)</t>
  </si>
  <si>
    <t>Mu cabeza</t>
  </si>
  <si>
    <t>wu·l²/2</t>
  </si>
  <si>
    <t>phiMn cabeza</t>
  </si>
  <si>
    <t>0.9·b'·t²·Fy/6</t>
  </si>
  <si>
    <t>estado flexion cabeza</t>
  </si>
  <si>
    <t>Mu &lt;= phiMn</t>
  </si>
  <si>
    <t>Vu cabeza</t>
  </si>
  <si>
    <t>N</t>
  </si>
  <si>
    <t>wu·l</t>
  </si>
  <si>
    <t>phiVn cabeza</t>
  </si>
  <si>
    <t>0.6·b'·t·Fy</t>
  </si>
  <si>
    <t>estado cortante cabeza</t>
  </si>
  <si>
    <t>Vu &lt;= phiVn</t>
  </si>
  <si>
    <t>10. RESUMEN FINAL</t>
  </si>
  <si>
    <t>Resumen</t>
  </si>
  <si>
    <t>Resultado placa base</t>
  </si>
  <si>
    <t>Estado placa base</t>
  </si>
  <si>
    <t>Resultado acero anclajes</t>
  </si>
  <si>
    <t>Estado acero anclajes</t>
  </si>
  <si>
    <t>Resultado arrancamiento</t>
  </si>
  <si>
    <t>Estado arrancamiento</t>
  </si>
  <si>
    <t>Resultado pernos combinado</t>
  </si>
  <si>
    <t>Estado pernos combinado</t>
  </si>
  <si>
    <t>Resultado llave</t>
  </si>
  <si>
    <t>Estados c, t y V llave</t>
  </si>
  <si>
    <t>Resultado soldadura alma</t>
  </si>
  <si>
    <t>Estado soldadura alma</t>
  </si>
  <si>
    <t>Resultado arandela</t>
  </si>
  <si>
    <t>Estado arandela</t>
  </si>
  <si>
    <t>Resultado placa cabeza</t>
  </si>
  <si>
    <t>Estados cabeza</t>
  </si>
  <si>
    <t>Dictamen global</t>
  </si>
  <si>
    <t>Todos los chequeos principales</t>
  </si>
  <si>
    <t>ID</t>
  </si>
  <si>
    <t>Sección</t>
  </si>
  <si>
    <t>A tabla</t>
  </si>
  <si>
    <t>k dis</t>
  </si>
  <si>
    <t>k det</t>
  </si>
  <si>
    <t>T</t>
  </si>
  <si>
    <t>wg</t>
  </si>
  <si>
    <t>R</t>
  </si>
  <si>
    <t>A calc</t>
  </si>
  <si>
    <t>h0</t>
  </si>
  <si>
    <t>alfa1</t>
  </si>
  <si>
    <t>D1</t>
  </si>
  <si>
    <t>Ix</t>
  </si>
  <si>
    <t>Iy</t>
  </si>
  <si>
    <t>rx</t>
  </si>
  <si>
    <t>ry</t>
  </si>
  <si>
    <t>Sx</t>
  </si>
  <si>
    <t>Sy</t>
  </si>
  <si>
    <t>Zx</t>
  </si>
  <si>
    <t>Zy</t>
  </si>
  <si>
    <t>J</t>
  </si>
  <si>
    <t>Cw</t>
  </si>
  <si>
    <t>rts</t>
  </si>
  <si>
    <t>Delta A</t>
  </si>
  <si>
    <t>[mm²]</t>
  </si>
  <si>
    <t>[mm]</t>
  </si>
  <si>
    <t>[-]</t>
  </si>
  <si>
    <t>[mm^4]</t>
  </si>
  <si>
    <t>[mm^3]</t>
  </si>
  <si>
    <t>[mm^6]</t>
  </si>
  <si>
    <t>[%]</t>
  </si>
  <si>
    <t>IPE 80</t>
  </si>
  <si>
    <t>IPE 100</t>
  </si>
  <si>
    <t>IPE 120</t>
  </si>
  <si>
    <t>IPE 140</t>
  </si>
  <si>
    <t>IPE 160</t>
  </si>
  <si>
    <t>IPE 180</t>
  </si>
  <si>
    <t>IPE 200</t>
  </si>
  <si>
    <t>IPE 220</t>
  </si>
  <si>
    <t>IPE 240</t>
  </si>
  <si>
    <t>IPE 270</t>
  </si>
  <si>
    <t>IPE 300</t>
  </si>
  <si>
    <t>IPE 330</t>
  </si>
  <si>
    <t>IPE 360</t>
  </si>
  <si>
    <t>IPE 400</t>
  </si>
  <si>
    <t>IPE 450</t>
  </si>
  <si>
    <t>IPE 500</t>
  </si>
  <si>
    <t>IPE 550</t>
  </si>
  <si>
    <t>IPE 600</t>
  </si>
  <si>
    <t>IPE750X137</t>
  </si>
  <si>
    <t>IPE750X147</t>
  </si>
  <si>
    <t>HEA  100</t>
  </si>
  <si>
    <t>HEB 100</t>
  </si>
  <si>
    <t>HEA 120</t>
  </si>
  <si>
    <t>HEB 120</t>
  </si>
  <si>
    <t>HEA 140</t>
  </si>
  <si>
    <t>HEB 140</t>
  </si>
  <si>
    <t>HEA 160</t>
  </si>
  <si>
    <t>HEB 160</t>
  </si>
  <si>
    <t>HEA 180</t>
  </si>
  <si>
    <t>HEB 180</t>
  </si>
  <si>
    <t>HEA 200</t>
  </si>
  <si>
    <t>HEB 200</t>
  </si>
  <si>
    <t>HEA 220</t>
  </si>
  <si>
    <t>HEB 220</t>
  </si>
  <si>
    <t>HEA 240</t>
  </si>
  <si>
    <t>HEB 240</t>
  </si>
  <si>
    <t>HEA 260</t>
  </si>
  <si>
    <t>HEB 260</t>
  </si>
  <si>
    <t>HEA 280</t>
  </si>
  <si>
    <t>HEB 280</t>
  </si>
  <si>
    <t>HEA 300</t>
  </si>
  <si>
    <t>HEB 300</t>
  </si>
  <si>
    <t>HEA 320</t>
  </si>
  <si>
    <t>HEB 320</t>
  </si>
  <si>
    <t>HEA 340</t>
  </si>
  <si>
    <t>HEB 340</t>
  </si>
  <si>
    <t>HEA 360</t>
  </si>
  <si>
    <t>HEB 360</t>
  </si>
  <si>
    <t>HEA 400</t>
  </si>
  <si>
    <t>HEB 400</t>
  </si>
  <si>
    <t>HEA 450</t>
  </si>
  <si>
    <t>HEB 450</t>
  </si>
  <si>
    <t>HEA 500</t>
  </si>
  <si>
    <t>HEB 500</t>
  </si>
  <si>
    <t>HEA 550</t>
  </si>
  <si>
    <t>HEB 550</t>
  </si>
  <si>
    <t>HEA 600</t>
  </si>
  <si>
    <t>HEB 600</t>
  </si>
  <si>
    <t>HEA 650</t>
  </si>
  <si>
    <t>HEB 650</t>
  </si>
  <si>
    <t>HEA 700</t>
  </si>
  <si>
    <t>HEB 700</t>
  </si>
  <si>
    <t>HEA 800</t>
  </si>
  <si>
    <t>HEB 800</t>
  </si>
  <si>
    <t>HEA 900</t>
  </si>
  <si>
    <t>HEB 900</t>
  </si>
  <si>
    <t>HEA 1000</t>
  </si>
  <si>
    <t>HEB 1000</t>
  </si>
  <si>
    <t>HEA 1100</t>
  </si>
  <si>
    <t>HEB 1100</t>
  </si>
  <si>
    <t>W6X8.5</t>
  </si>
  <si>
    <t>W6X15</t>
  </si>
  <si>
    <t>W6X20</t>
  </si>
  <si>
    <t>W8X10</t>
  </si>
  <si>
    <t>W8X13</t>
  </si>
  <si>
    <t>W8X15</t>
  </si>
  <si>
    <t>W8X24</t>
  </si>
  <si>
    <t>W8X28</t>
  </si>
  <si>
    <t>W8X31</t>
  </si>
  <si>
    <t>W8X35</t>
  </si>
  <si>
    <t>W10X12</t>
  </si>
  <si>
    <t>W10X17</t>
  </si>
  <si>
    <t>W10X19</t>
  </si>
  <si>
    <t>W10X22</t>
  </si>
  <si>
    <t>W10X49</t>
  </si>
  <si>
    <t>W12X14</t>
  </si>
  <si>
    <t>W12X16</t>
  </si>
  <si>
    <t>W12X22</t>
  </si>
  <si>
    <t>W12X26</t>
  </si>
  <si>
    <t>W12X65</t>
  </si>
  <si>
    <t>W12X72</t>
  </si>
  <si>
    <t>W14X22</t>
  </si>
  <si>
    <t>W14X30</t>
  </si>
  <si>
    <t>W14X68</t>
  </si>
  <si>
    <t>W14X74</t>
  </si>
  <si>
    <t>W14X90</t>
  </si>
  <si>
    <t>W14X120</t>
  </si>
  <si>
    <t>W14X145</t>
  </si>
  <si>
    <t>W16X26</t>
  </si>
  <si>
    <t>W16X31</t>
  </si>
  <si>
    <t>W16X36</t>
  </si>
  <si>
    <t>W16X45</t>
  </si>
  <si>
    <t>W18X35</t>
  </si>
  <si>
    <t>W18X40</t>
  </si>
  <si>
    <t>W18X50</t>
  </si>
  <si>
    <t>W21X44</t>
  </si>
  <si>
    <t>W21X50</t>
  </si>
  <si>
    <t>W21X57</t>
  </si>
  <si>
    <t>W21X68</t>
  </si>
  <si>
    <t>W24X55</t>
  </si>
  <si>
    <t>W24X62</t>
  </si>
  <si>
    <t>W24X68</t>
  </si>
  <si>
    <t>W24X76</t>
  </si>
  <si>
    <t>W24X84</t>
  </si>
  <si>
    <t>W24X117</t>
  </si>
  <si>
    <t>W24X131</t>
  </si>
  <si>
    <t>HP250X85</t>
  </si>
  <si>
    <t>HP310X125</t>
  </si>
  <si>
    <t>HP400X140</t>
  </si>
  <si>
    <t>HP400X158</t>
  </si>
  <si>
    <t>HP400X176</t>
  </si>
  <si>
    <t>HP400X231</t>
  </si>
  <si>
    <t>d_a mm</t>
  </si>
  <si>
    <t>Etiqueta</t>
  </si>
  <si>
    <t>d_a pulg</t>
  </si>
  <si>
    <t>n_t hilos/pulg</t>
  </si>
  <si>
    <t>d_h arandela mm</t>
  </si>
  <si>
    <t>d_h base mm</t>
  </si>
  <si>
    <t>F tuerca mm</t>
  </si>
  <si>
    <t>t mm</t>
  </si>
  <si>
    <t>pulgadas</t>
  </si>
  <si>
    <t>Barra</t>
  </si>
  <si>
    <t>d_b mm</t>
  </si>
  <si>
    <t>Área cm²</t>
  </si>
  <si>
    <t>Sí/No</t>
  </si>
  <si>
    <t>Modo llave</t>
  </si>
  <si>
    <t>Ancho arandela mm</t>
  </si>
  <si>
    <t>Tamaño soldadura mm</t>
  </si>
  <si>
    <t>Material</t>
  </si>
  <si>
    <t>Fy MPa</t>
  </si>
  <si>
    <t>Fu MPa</t>
  </si>
  <si>
    <t>3/4"</t>
  </si>
  <si>
    <t>1/4"</t>
  </si>
  <si>
    <t>N2</t>
  </si>
  <si>
    <t>ASTM A36</t>
  </si>
  <si>
    <t>7/8"</t>
  </si>
  <si>
    <t>5/16" aprox.</t>
  </si>
  <si>
    <t>N3</t>
  </si>
  <si>
    <t>No</t>
  </si>
  <si>
    <t>ASTM A572 Gr.50</t>
  </si>
  <si>
    <t>1"</t>
  </si>
  <si>
    <t>3/8"</t>
  </si>
  <si>
    <t>N4</t>
  </si>
  <si>
    <t>1 1/8"</t>
  </si>
  <si>
    <t>1/2"</t>
  </si>
  <si>
    <t>N5</t>
  </si>
  <si>
    <t>Refuerzo Gr.60</t>
  </si>
  <si>
    <t>1 1/4"</t>
  </si>
  <si>
    <t>5/8"</t>
  </si>
  <si>
    <t>N6</t>
  </si>
  <si>
    <t>1 3/8"</t>
  </si>
  <si>
    <t>N7</t>
  </si>
  <si>
    <t>1 1/2"</t>
  </si>
  <si>
    <t>1 3/4"</t>
  </si>
  <si>
    <t>N9</t>
  </si>
  <si>
    <t>2"</t>
  </si>
  <si>
    <t>N10</t>
  </si>
  <si>
    <t>2 1/4"</t>
  </si>
  <si>
    <t>2 1/2"</t>
  </si>
  <si>
    <t>3"</t>
  </si>
  <si>
    <t>3 1/2"</t>
  </si>
  <si>
    <t>4"</t>
  </si>
  <si>
    <t>PROGRAMACIÓN - CONEXIÓN COLUMNA / PLACA BASE AXIAL + MOMENTO</t>
  </si>
  <si>
    <t>Alcance</t>
  </si>
  <si>
    <t>Hoja paramétrica vertical para placa base, anclajes, pedestal, arrancamiento, cortante, llave de corte, arandelas y soldaduras, basada en las imágenes y transcripción del procedimiento AISC 341-16 / Guía No. 1 AISC / ACI 318.</t>
  </si>
  <si>
    <t>Uso</t>
  </si>
  <si>
    <t>Cambie únicamente las celdas de entrada en amarillo en la hoja DISENO_CONEXION. Las celdas azules contienen fórmulas.</t>
  </si>
  <si>
    <t>Catálogos</t>
  </si>
  <si>
    <t>PERFILES contiene el catálogo importado del Excel adjunto y se agregó W18X175 con propiedades del ejemplo de las imágenes. CATALOGOS contiene diámetros, espesores, barras y listas desplegables.</t>
  </si>
  <si>
    <t>Nota técnica</t>
  </si>
  <si>
    <t>Las fórmulas están escritas en sintaxis estándar de Excel. En Excel en español se mostrarán/localizarán según la configuración regional.</t>
  </si>
  <si>
    <t>Advertencia</t>
  </si>
  <si>
    <t>Revise normas aplicables, unidades, detalles constructivos, borde/espaciamiento de anclajes, soldaduras CJP y compatibilidad con planos antes de usar en diseño definitivo.</t>
  </si>
  <si>
    <t>C1</t>
  </si>
  <si>
    <t>le borde anclaje X</t>
  </si>
  <si>
    <t>Sobresale pedestal Y</t>
  </si>
  <si>
    <t>le borde anclaje Y</t>
  </si>
  <si>
    <t>Sobresale pedestal X</t>
  </si>
  <si>
    <t>C23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</si>
</sst>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7F6000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name val="Carlito"/>
    </font>
    <font>
      <b/>
      <sz val="10"/>
      <name val="Carlito"/>
    </font>
    <font>
      <sz val="10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2" fontId="0" fillId="0" borderId="0" xfId="0" applyNumberFormat="1" applyAlignment="1">
      <alignment wrapText="1"/>
    </xf>
    <xf numFmtId="2" fontId="6" fillId="4" borderId="0" xfId="0" applyNumberFormat="1" applyFont="1" applyFill="1" applyAlignment="1">
      <alignment horizontal="center" vertical="center" wrapText="1"/>
    </xf>
    <xf numFmtId="2" fontId="7" fillId="6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8" fillId="3" borderId="0" xfId="0" applyFont="1" applyFill="1" applyAlignment="1">
      <alignment wrapText="1"/>
    </xf>
    <xf numFmtId="1" fontId="6" fillId="4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64" fontId="6" fillId="4" borderId="0" xfId="0" applyNumberFormat="1" applyFont="1" applyFill="1" applyAlignment="1">
      <alignment horizontal="center" vertical="center" wrapText="1"/>
    </xf>
    <xf numFmtId="0" fontId="5" fillId="7" borderId="0" xfId="0" applyFont="1" applyFill="1" applyAlignment="1">
      <alignment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2" fontId="4" fillId="5" borderId="0" xfId="0" applyNumberFormat="1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4"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rfiles" displayName="TablaPerfiles" ref="A1:AC125">
  <tableColumns count="29">
    <tableColumn id="1" xr3:uid="{00000000-0010-0000-0000-000001000000}" name="ID"/>
    <tableColumn id="2" xr3:uid="{00000000-0010-0000-0000-000002000000}" name="Sección"/>
    <tableColumn id="3" xr3:uid="{00000000-0010-0000-0000-000003000000}" name="A tabla"/>
    <tableColumn id="4" xr3:uid="{00000000-0010-0000-0000-000004000000}" name="d"/>
    <tableColumn id="5" xr3:uid="{00000000-0010-0000-0000-000005000000}" name="tw"/>
    <tableColumn id="6" xr3:uid="{00000000-0010-0000-0000-000006000000}" name="bf"/>
    <tableColumn id="7" xr3:uid="{00000000-0010-0000-0000-000007000000}" name="tf"/>
    <tableColumn id="8" xr3:uid="{00000000-0010-0000-0000-000008000000}" name="k dis"/>
    <tableColumn id="9" xr3:uid="{00000000-0010-0000-0000-000009000000}" name="k det"/>
    <tableColumn id="10" xr3:uid="{00000000-0010-0000-0000-00000A000000}" name="k1"/>
    <tableColumn id="11" xr3:uid="{00000000-0010-0000-0000-00000B000000}" name="T"/>
    <tableColumn id="12" xr3:uid="{00000000-0010-0000-0000-00000C000000}" name="wg"/>
    <tableColumn id="13" xr3:uid="{00000000-0010-0000-0000-00000D000000}" name="R"/>
    <tableColumn id="14" xr3:uid="{00000000-0010-0000-0000-00000E000000}" name="A calc"/>
    <tableColumn id="15" xr3:uid="{00000000-0010-0000-0000-00000F000000}" name="h0"/>
    <tableColumn id="16" xr3:uid="{00000000-0010-0000-0000-000010000000}" name="alfa1"/>
    <tableColumn id="17" xr3:uid="{00000000-0010-0000-0000-000011000000}" name="D1"/>
    <tableColumn id="18" xr3:uid="{00000000-0010-0000-0000-000012000000}" name="Ix"/>
    <tableColumn id="19" xr3:uid="{00000000-0010-0000-0000-000013000000}" name="Iy"/>
    <tableColumn id="20" xr3:uid="{00000000-0010-0000-0000-000014000000}" name="rx"/>
    <tableColumn id="21" xr3:uid="{00000000-0010-0000-0000-000015000000}" name="ry"/>
    <tableColumn id="22" xr3:uid="{00000000-0010-0000-0000-000016000000}" name="Sx"/>
    <tableColumn id="23" xr3:uid="{00000000-0010-0000-0000-000017000000}" name="Sy"/>
    <tableColumn id="24" xr3:uid="{00000000-0010-0000-0000-000018000000}" name="Zx"/>
    <tableColumn id="25" xr3:uid="{00000000-0010-0000-0000-000019000000}" name="Zy"/>
    <tableColumn id="26" xr3:uid="{00000000-0010-0000-0000-00001A000000}" name="J"/>
    <tableColumn id="27" xr3:uid="{00000000-0010-0000-0000-00001B000000}" name="Cw"/>
    <tableColumn id="28" xr3:uid="{00000000-0010-0000-0000-00001C000000}" name="rts"/>
    <tableColumn id="29" xr3:uid="{00000000-0010-0000-0000-00001D000000}" name="Delta 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Anclajes" displayName="TablaAnclajes" ref="A1:G10">
  <tableColumns count="7">
    <tableColumn id="1" xr3:uid="{00000000-0010-0000-0100-000001000000}" name="d_a mm"/>
    <tableColumn id="2" xr3:uid="{00000000-0010-0000-0100-000002000000}" name="Etiqueta"/>
    <tableColumn id="3" xr3:uid="{00000000-0010-0000-0100-000003000000}" name="d_a pulg"/>
    <tableColumn id="4" xr3:uid="{00000000-0010-0000-0100-000004000000}" name="n_t hilos/pulg"/>
    <tableColumn id="5" xr3:uid="{00000000-0010-0000-0100-000005000000}" name="d_h arandela mm"/>
    <tableColumn id="6" xr3:uid="{00000000-0010-0000-0100-000006000000}" name="d_h base mm"/>
    <tableColumn id="7" xr3:uid="{00000000-0010-0000-0100-000007000000}" name="F tuerca m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Espesores" displayName="TablaEspesores" ref="I1:K18">
  <tableColumns count="3">
    <tableColumn id="1" xr3:uid="{00000000-0010-0000-0200-000001000000}" name="t mm"/>
    <tableColumn id="2" xr3:uid="{00000000-0010-0000-0200-000002000000}" name="pulgadas"/>
    <tableColumn id="3" xr3:uid="{00000000-0010-0000-0200-000003000000}" name="Etique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Barras" displayName="TablaBarras" ref="M1:O10">
  <tableColumns count="3">
    <tableColumn id="1" xr3:uid="{00000000-0010-0000-0300-000001000000}" name="Barra"/>
    <tableColumn id="2" xr3:uid="{00000000-0010-0000-0300-000002000000}" name="d_b mm"/>
    <tableColumn id="3" xr3:uid="{00000000-0010-0000-0300-000003000000}" name="Área cm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topLeftCell="A30" workbookViewId="0">
      <selection activeCell="C30" sqref="C30"/>
    </sheetView>
  </sheetViews>
  <sheetFormatPr baseColWidth="10" defaultColWidth="8.6640625" defaultRowHeight="14"/>
  <cols>
    <col min="1" max="1" width="16" customWidth="1"/>
    <col min="2" max="2" width="28" customWidth="1"/>
    <col min="3" max="3" width="18" customWidth="1"/>
    <col min="4" max="4" width="12" customWidth="1"/>
    <col min="5" max="5" width="34" customWidth="1"/>
    <col min="6" max="6" width="16" customWidth="1"/>
    <col min="7" max="7" width="18" customWidth="1"/>
    <col min="8" max="8" width="35" customWidth="1"/>
  </cols>
  <sheetData>
    <row r="1" spans="1:11" ht="22.4" customHeight="1">
      <c r="A1" s="15" t="s">
        <v>0</v>
      </c>
      <c r="B1" s="15"/>
      <c r="C1" s="16"/>
      <c r="D1" s="15"/>
      <c r="E1" s="15"/>
      <c r="F1" s="15"/>
      <c r="G1" s="15"/>
      <c r="H1" s="15"/>
    </row>
    <row r="2" spans="1:11" ht="17.75" customHeight="1">
      <c r="A2" s="17" t="s">
        <v>1</v>
      </c>
      <c r="B2" s="17"/>
      <c r="C2" s="18"/>
      <c r="D2" s="17"/>
      <c r="E2" s="17"/>
      <c r="F2" s="17"/>
      <c r="G2" s="17"/>
      <c r="H2" s="17"/>
    </row>
    <row r="3" spans="1:11">
      <c r="A3" s="1"/>
      <c r="B3" s="1"/>
      <c r="C3" s="3"/>
      <c r="D3" s="6"/>
      <c r="E3" s="1"/>
      <c r="F3" s="1"/>
      <c r="G3" s="1"/>
      <c r="H3" s="1"/>
    </row>
    <row r="4" spans="1:11" ht="17.75" customHeight="1">
      <c r="A4" s="19" t="s">
        <v>2</v>
      </c>
      <c r="B4" s="19"/>
      <c r="C4" s="20"/>
      <c r="D4" s="21"/>
      <c r="E4" s="19"/>
      <c r="F4" s="19"/>
      <c r="G4" s="19"/>
      <c r="H4" s="19"/>
    </row>
    <row r="5" spans="1:11">
      <c r="A5" s="2" t="s">
        <v>3</v>
      </c>
      <c r="B5" s="13" t="s">
        <v>4</v>
      </c>
      <c r="C5" s="4" t="s">
        <v>490</v>
      </c>
      <c r="D5" s="7"/>
      <c r="E5" s="2" t="s">
        <v>6</v>
      </c>
      <c r="F5" s="2"/>
      <c r="G5" s="2"/>
      <c r="H5" s="2" t="s">
        <v>7</v>
      </c>
    </row>
    <row r="6" spans="1:11">
      <c r="A6" s="2" t="s">
        <v>3</v>
      </c>
      <c r="B6" s="13" t="s">
        <v>8</v>
      </c>
      <c r="C6" s="4">
        <v>345</v>
      </c>
      <c r="D6" s="7" t="s">
        <v>9</v>
      </c>
      <c r="E6" s="2" t="s">
        <v>10</v>
      </c>
      <c r="F6" s="2"/>
      <c r="G6" s="2"/>
      <c r="H6" s="2" t="s">
        <v>11</v>
      </c>
    </row>
    <row r="7" spans="1:11">
      <c r="A7" s="2" t="s">
        <v>3</v>
      </c>
      <c r="B7" s="13" t="s">
        <v>12</v>
      </c>
      <c r="C7" s="4">
        <v>1.1000000000000001</v>
      </c>
      <c r="D7" s="7" t="s">
        <v>13</v>
      </c>
      <c r="E7" s="2" t="s">
        <v>14</v>
      </c>
      <c r="F7" s="2"/>
      <c r="G7" s="2"/>
      <c r="H7" s="2"/>
    </row>
    <row r="8" spans="1:11">
      <c r="A8" s="2" t="s">
        <v>3</v>
      </c>
      <c r="B8" s="13" t="s">
        <v>15</v>
      </c>
      <c r="C8" s="4">
        <v>345</v>
      </c>
      <c r="D8" s="7" t="s">
        <v>9</v>
      </c>
      <c r="E8" s="2" t="s">
        <v>16</v>
      </c>
      <c r="F8" s="2"/>
      <c r="G8" s="2"/>
      <c r="H8" s="2" t="s">
        <v>17</v>
      </c>
    </row>
    <row r="9" spans="1:11">
      <c r="A9" s="2" t="s">
        <v>3</v>
      </c>
      <c r="B9" s="2" t="s">
        <v>18</v>
      </c>
      <c r="C9" s="4">
        <v>448</v>
      </c>
      <c r="D9" s="7" t="s">
        <v>9</v>
      </c>
      <c r="E9" s="2" t="s">
        <v>19</v>
      </c>
      <c r="F9" s="2"/>
      <c r="G9" s="2"/>
      <c r="H9" s="2" t="s">
        <v>11</v>
      </c>
    </row>
    <row r="10" spans="1:11">
      <c r="A10" s="2" t="s">
        <v>3</v>
      </c>
      <c r="B10" s="13" t="s">
        <v>20</v>
      </c>
      <c r="C10" s="10">
        <v>28</v>
      </c>
      <c r="D10" s="7" t="s">
        <v>9</v>
      </c>
      <c r="E10" s="2" t="s">
        <v>21</v>
      </c>
      <c r="F10" s="2"/>
      <c r="G10" s="2"/>
      <c r="H10" s="2"/>
      <c r="K10" s="14">
        <f>C14+C16</f>
        <v>135</v>
      </c>
    </row>
    <row r="11" spans="1:11">
      <c r="A11" s="2" t="s">
        <v>3</v>
      </c>
      <c r="B11" s="13" t="s">
        <v>22</v>
      </c>
      <c r="C11" s="4">
        <v>0.65</v>
      </c>
      <c r="D11" s="7" t="s">
        <v>13</v>
      </c>
      <c r="E11" s="2" t="s">
        <v>23</v>
      </c>
      <c r="F11" s="2"/>
      <c r="G11" s="2"/>
      <c r="H11" s="2"/>
    </row>
    <row r="12" spans="1:11">
      <c r="A12" s="2" t="s">
        <v>3</v>
      </c>
      <c r="B12" s="13" t="s">
        <v>24</v>
      </c>
      <c r="C12" s="10">
        <v>700</v>
      </c>
      <c r="D12" s="7" t="s">
        <v>25</v>
      </c>
      <c r="E12" s="2" t="s">
        <v>26</v>
      </c>
      <c r="F12" s="2"/>
      <c r="G12" s="2"/>
      <c r="H12" s="2" t="s">
        <v>27</v>
      </c>
    </row>
    <row r="13" spans="1:11">
      <c r="A13" s="2" t="s">
        <v>3</v>
      </c>
      <c r="B13" s="13" t="s">
        <v>28</v>
      </c>
      <c r="C13" s="10">
        <v>800</v>
      </c>
      <c r="D13" s="7" t="s">
        <v>25</v>
      </c>
      <c r="E13" s="2" t="s">
        <v>29</v>
      </c>
      <c r="F13" s="2"/>
      <c r="G13" s="2"/>
      <c r="H13" s="2" t="s">
        <v>30</v>
      </c>
    </row>
    <row r="14" spans="1:11">
      <c r="A14" s="2" t="s">
        <v>3</v>
      </c>
      <c r="B14" s="13" t="s">
        <v>623</v>
      </c>
      <c r="C14" s="12">
        <v>85</v>
      </c>
      <c r="D14" s="7" t="s">
        <v>25</v>
      </c>
      <c r="E14" s="2" t="s">
        <v>31</v>
      </c>
      <c r="F14" s="2"/>
      <c r="G14" s="2"/>
      <c r="H14" s="2"/>
    </row>
    <row r="15" spans="1:11">
      <c r="A15" s="2"/>
      <c r="B15" s="13" t="s">
        <v>621</v>
      </c>
      <c r="C15" s="12">
        <v>50</v>
      </c>
      <c r="D15" s="7"/>
      <c r="E15" s="2"/>
      <c r="F15" s="2"/>
      <c r="G15" s="2"/>
      <c r="H15" s="2"/>
    </row>
    <row r="16" spans="1:11">
      <c r="A16" s="2" t="s">
        <v>3</v>
      </c>
      <c r="B16" s="13" t="s">
        <v>622</v>
      </c>
      <c r="C16" s="10">
        <v>50</v>
      </c>
      <c r="D16" s="7" t="s">
        <v>25</v>
      </c>
      <c r="E16" s="2" t="s">
        <v>32</v>
      </c>
      <c r="F16" s="2"/>
      <c r="G16" s="2"/>
      <c r="H16" s="2"/>
      <c r="J16">
        <f>C22/PERFILES!X3</f>
        <v>0.73786448102190194</v>
      </c>
    </row>
    <row r="17" spans="1:11">
      <c r="A17" s="2"/>
      <c r="B17" s="13" t="s">
        <v>624</v>
      </c>
      <c r="C17" s="10">
        <v>75</v>
      </c>
      <c r="D17" s="7"/>
      <c r="E17" s="2"/>
      <c r="F17" s="2"/>
      <c r="G17" s="2"/>
      <c r="H17" s="2"/>
    </row>
    <row r="18" spans="1:11" ht="25">
      <c r="A18" s="2" t="s">
        <v>3</v>
      </c>
      <c r="B18" s="13" t="s">
        <v>33</v>
      </c>
      <c r="C18" s="10">
        <v>450</v>
      </c>
      <c r="D18" s="7" t="s">
        <v>25</v>
      </c>
      <c r="E18" s="2" t="s">
        <v>34</v>
      </c>
      <c r="F18" s="2"/>
      <c r="G18" s="2"/>
      <c r="H18" s="2" t="s">
        <v>35</v>
      </c>
    </row>
    <row r="19" spans="1:11">
      <c r="A19" s="2" t="s">
        <v>3</v>
      </c>
      <c r="B19" s="13" t="s">
        <v>36</v>
      </c>
      <c r="C19" s="10">
        <v>40</v>
      </c>
      <c r="D19" s="7" t="s">
        <v>25</v>
      </c>
      <c r="E19" s="2" t="s">
        <v>37</v>
      </c>
      <c r="F19" s="2"/>
      <c r="G19" s="2"/>
      <c r="H19" s="2"/>
      <c r="K19" s="11">
        <f>C13-500</f>
        <v>300</v>
      </c>
    </row>
    <row r="20" spans="1:11">
      <c r="A20" s="2" t="s">
        <v>3</v>
      </c>
      <c r="B20" s="13" t="s">
        <v>38</v>
      </c>
      <c r="C20" s="10">
        <v>485</v>
      </c>
      <c r="D20" s="7" t="s">
        <v>9</v>
      </c>
      <c r="E20" s="2" t="s">
        <v>39</v>
      </c>
      <c r="F20" s="2"/>
      <c r="G20" s="2"/>
      <c r="H20" s="2" t="s">
        <v>40</v>
      </c>
    </row>
    <row r="21" spans="1:11">
      <c r="A21" s="2" t="s">
        <v>3</v>
      </c>
      <c r="B21" s="13" t="s">
        <v>41</v>
      </c>
      <c r="C21" s="10">
        <v>2500</v>
      </c>
      <c r="D21" s="7" t="s">
        <v>25</v>
      </c>
      <c r="E21" s="2" t="s">
        <v>42</v>
      </c>
      <c r="F21" s="2"/>
      <c r="G21" s="2"/>
      <c r="H21" s="2"/>
      <c r="K21">
        <f>K19*0.25</f>
        <v>75</v>
      </c>
    </row>
    <row r="22" spans="1:11">
      <c r="A22" s="2" t="s">
        <v>3</v>
      </c>
      <c r="B22" s="13" t="s">
        <v>43</v>
      </c>
      <c r="C22" s="10">
        <f>C40</f>
        <v>4814565.73866791</v>
      </c>
      <c r="D22" s="7" t="s">
        <v>44</v>
      </c>
      <c r="E22" s="2" t="s">
        <v>45</v>
      </c>
      <c r="F22" s="2"/>
      <c r="G22" s="2"/>
      <c r="H22" s="2" t="s">
        <v>46</v>
      </c>
      <c r="K22">
        <f>(800-500)/2</f>
        <v>150</v>
      </c>
    </row>
    <row r="23" spans="1:11">
      <c r="A23" s="2" t="s">
        <v>3</v>
      </c>
      <c r="B23" s="13" t="s">
        <v>47</v>
      </c>
      <c r="C23" s="4" t="s">
        <v>48</v>
      </c>
      <c r="D23" s="7"/>
      <c r="E23" s="2" t="s">
        <v>49</v>
      </c>
      <c r="F23" s="2"/>
      <c r="G23" s="2"/>
      <c r="H23" s="2"/>
      <c r="K23">
        <f>K22-80</f>
        <v>70</v>
      </c>
    </row>
    <row r="24" spans="1:11" ht="25">
      <c r="A24" s="2" t="s">
        <v>3</v>
      </c>
      <c r="B24" s="13" t="s">
        <v>50</v>
      </c>
      <c r="C24" s="4" t="s">
        <v>51</v>
      </c>
      <c r="D24" s="7"/>
      <c r="E24" s="2" t="s">
        <v>52</v>
      </c>
      <c r="F24" s="2"/>
      <c r="G24" s="2"/>
      <c r="H24" s="2" t="s">
        <v>53</v>
      </c>
      <c r="K24">
        <f>200/25.4</f>
        <v>7.8740157480314963</v>
      </c>
    </row>
    <row r="25" spans="1:11">
      <c r="A25" s="2" t="s">
        <v>3</v>
      </c>
      <c r="B25" s="13" t="s">
        <v>54</v>
      </c>
      <c r="C25" s="4">
        <v>450</v>
      </c>
      <c r="D25" s="7" t="s">
        <v>25</v>
      </c>
      <c r="E25" s="2" t="s">
        <v>55</v>
      </c>
      <c r="F25" s="2"/>
      <c r="G25" s="2"/>
      <c r="H25" s="2"/>
      <c r="K25">
        <f>0.45*SQRT(200000/345)</f>
        <v>10.834726777719228</v>
      </c>
    </row>
    <row r="26" spans="1:11">
      <c r="A26" s="2" t="s">
        <v>3</v>
      </c>
      <c r="B26" s="13" t="s">
        <v>56</v>
      </c>
      <c r="C26" s="4">
        <v>130</v>
      </c>
      <c r="D26" s="7" t="s">
        <v>25</v>
      </c>
      <c r="E26" s="2" t="s">
        <v>57</v>
      </c>
      <c r="F26" s="2"/>
      <c r="G26" s="2"/>
      <c r="H26" s="2"/>
    </row>
    <row r="27" spans="1:11">
      <c r="A27" s="2" t="s">
        <v>3</v>
      </c>
      <c r="B27" s="13" t="s">
        <v>58</v>
      </c>
      <c r="C27" s="4">
        <v>50.8</v>
      </c>
      <c r="D27" s="7" t="s">
        <v>25</v>
      </c>
      <c r="E27" s="2" t="s">
        <v>59</v>
      </c>
      <c r="F27" s="2"/>
      <c r="G27" s="2"/>
      <c r="H27" s="2" t="s">
        <v>60</v>
      </c>
    </row>
    <row r="28" spans="1:11">
      <c r="A28" s="2" t="s">
        <v>3</v>
      </c>
      <c r="B28" s="13" t="s">
        <v>61</v>
      </c>
      <c r="C28" s="4">
        <v>90</v>
      </c>
      <c r="D28" s="7" t="s">
        <v>25</v>
      </c>
      <c r="E28" s="2" t="s">
        <v>62</v>
      </c>
      <c r="F28" s="2"/>
      <c r="G28" s="2"/>
      <c r="H28" s="2"/>
      <c r="J28">
        <f>382.86+50</f>
        <v>432.86</v>
      </c>
    </row>
    <row r="29" spans="1:11">
      <c r="A29" s="2" t="s">
        <v>3</v>
      </c>
      <c r="B29" s="13" t="s">
        <v>63</v>
      </c>
      <c r="C29" s="4">
        <v>15.875</v>
      </c>
      <c r="D29" s="7" t="s">
        <v>25</v>
      </c>
      <c r="E29" s="2" t="s">
        <v>64</v>
      </c>
      <c r="F29" s="2"/>
      <c r="G29" s="2"/>
      <c r="H29" s="2" t="s">
        <v>65</v>
      </c>
    </row>
    <row r="30" spans="1:11">
      <c r="A30" s="2" t="s">
        <v>3</v>
      </c>
      <c r="B30" s="13" t="s">
        <v>66</v>
      </c>
      <c r="C30" s="4">
        <v>6.35</v>
      </c>
      <c r="D30" s="7" t="s">
        <v>25</v>
      </c>
      <c r="E30" s="2" t="s">
        <v>67</v>
      </c>
      <c r="F30" s="2"/>
      <c r="G30" s="2"/>
      <c r="H30" s="2" t="s">
        <v>68</v>
      </c>
    </row>
    <row r="31" spans="1:11">
      <c r="A31" s="2" t="s">
        <v>3</v>
      </c>
      <c r="B31" s="13" t="s">
        <v>69</v>
      </c>
      <c r="C31" s="4">
        <v>90</v>
      </c>
      <c r="D31" s="7" t="s">
        <v>25</v>
      </c>
      <c r="E31" s="2" t="s">
        <v>70</v>
      </c>
      <c r="F31" s="2"/>
      <c r="G31" s="2"/>
      <c r="H31" s="2"/>
    </row>
    <row r="32" spans="1:11">
      <c r="A32" s="2" t="s">
        <v>3</v>
      </c>
      <c r="B32" s="13" t="s">
        <v>71</v>
      </c>
      <c r="C32" s="4">
        <v>22.225000000000001</v>
      </c>
      <c r="D32" s="7" t="s">
        <v>25</v>
      </c>
      <c r="E32" s="2" t="s">
        <v>72</v>
      </c>
      <c r="F32" s="2"/>
      <c r="G32" s="2"/>
      <c r="H32" s="2" t="s">
        <v>73</v>
      </c>
    </row>
    <row r="33" spans="1:8" ht="17.75" customHeight="1">
      <c r="A33" s="19" t="s">
        <v>74</v>
      </c>
      <c r="B33" s="19"/>
      <c r="C33" s="20"/>
      <c r="D33" s="21"/>
      <c r="E33" s="19"/>
      <c r="F33" s="19"/>
      <c r="G33" s="19"/>
      <c r="H33" s="19"/>
    </row>
    <row r="34" spans="1:8">
      <c r="A34" s="2" t="s">
        <v>75</v>
      </c>
      <c r="B34" s="13" t="s">
        <v>76</v>
      </c>
      <c r="C34" s="5">
        <f>IFERROR(INDEX(PERFILES!$D:$D,MATCH($C$5,PERFILES!$B:$B,0)),"")</f>
        <v>500</v>
      </c>
      <c r="D34" s="7" t="s">
        <v>25</v>
      </c>
      <c r="E34" s="2" t="s">
        <v>77</v>
      </c>
      <c r="F34" s="2"/>
      <c r="G34" s="2"/>
      <c r="H34" s="2"/>
    </row>
    <row r="35" spans="1:8">
      <c r="A35" s="2" t="s">
        <v>75</v>
      </c>
      <c r="B35" s="13" t="s">
        <v>78</v>
      </c>
      <c r="C35" s="5">
        <f>IFERROR(INDEX(PERFILES!$F:$F,MATCH($C$5,PERFILES!$B:$B,0)),"")</f>
        <v>300</v>
      </c>
      <c r="D35" s="7" t="s">
        <v>25</v>
      </c>
      <c r="E35" s="2" t="s">
        <v>77</v>
      </c>
      <c r="F35" s="2"/>
      <c r="G35" s="2"/>
      <c r="H35" s="2"/>
    </row>
    <row r="36" spans="1:8">
      <c r="A36" s="2" t="s">
        <v>75</v>
      </c>
      <c r="B36" s="13" t="s">
        <v>79</v>
      </c>
      <c r="C36" s="5">
        <f>IFERROR(INDEX(PERFILES!$E:$E,MATCH($C$5,PERFILES!$B:$B,0)),"")</f>
        <v>14.5</v>
      </c>
      <c r="D36" s="7" t="s">
        <v>25</v>
      </c>
      <c r="E36" s="2" t="s">
        <v>77</v>
      </c>
      <c r="F36" s="2"/>
      <c r="G36" s="2"/>
      <c r="H36" s="2"/>
    </row>
    <row r="37" spans="1:8">
      <c r="A37" s="2" t="s">
        <v>75</v>
      </c>
      <c r="B37" s="13" t="s">
        <v>80</v>
      </c>
      <c r="C37" s="5">
        <f>IFERROR(INDEX(PERFILES!$G:$G,MATCH($C$5,PERFILES!$B:$B,0)),"")</f>
        <v>28</v>
      </c>
      <c r="D37" s="7" t="s">
        <v>25</v>
      </c>
      <c r="E37" s="2" t="s">
        <v>77</v>
      </c>
      <c r="F37" s="2"/>
      <c r="G37" s="2"/>
      <c r="H37" s="2"/>
    </row>
    <row r="38" spans="1:8">
      <c r="A38" s="2" t="s">
        <v>75</v>
      </c>
      <c r="B38" s="13" t="s">
        <v>81</v>
      </c>
      <c r="C38" s="5">
        <f>IFERROR(INDEX(PERFILES!$I:$I,MATCH($C$5,PERFILES!$B:$B,0)),"")</f>
        <v>55</v>
      </c>
      <c r="D38" s="7" t="s">
        <v>25</v>
      </c>
      <c r="E38" s="2" t="s">
        <v>77</v>
      </c>
      <c r="F38" s="2"/>
      <c r="G38" s="2"/>
      <c r="H38" s="2"/>
    </row>
    <row r="39" spans="1:8">
      <c r="A39" s="2" t="s">
        <v>75</v>
      </c>
      <c r="B39" s="13" t="s">
        <v>82</v>
      </c>
      <c r="C39" s="5">
        <f>IFERROR(INDEX(PERFILES!$J:$J,MATCH($C$5,PERFILES!$B:$B,0)),"")</f>
        <v>34.25</v>
      </c>
      <c r="D39" s="7" t="s">
        <v>25</v>
      </c>
      <c r="E39" s="2" t="s">
        <v>77</v>
      </c>
      <c r="F39" s="2"/>
      <c r="G39" s="2"/>
      <c r="H39" s="2"/>
    </row>
    <row r="40" spans="1:8">
      <c r="A40" s="2" t="s">
        <v>75</v>
      </c>
      <c r="B40" s="13" t="s">
        <v>83</v>
      </c>
      <c r="C40" s="5">
        <f>IFERROR(INDEX(PERFILES!$X:$X,MATCH($C$5,PERFILES!$B:$B,0)),"")</f>
        <v>4814565.73866791</v>
      </c>
      <c r="D40" s="7" t="s">
        <v>44</v>
      </c>
      <c r="E40" s="2" t="s">
        <v>77</v>
      </c>
      <c r="F40" s="2"/>
      <c r="G40" s="2"/>
      <c r="H40" s="2"/>
    </row>
    <row r="41" spans="1:8">
      <c r="A41" s="2" t="s">
        <v>84</v>
      </c>
      <c r="B41" s="13" t="s">
        <v>85</v>
      </c>
      <c r="C41" s="5">
        <f>($C$13-0.95*$C$34)/2</f>
        <v>162.5</v>
      </c>
      <c r="D41" s="7" t="s">
        <v>25</v>
      </c>
      <c r="E41" s="2" t="s">
        <v>86</v>
      </c>
      <c r="F41" s="2"/>
      <c r="G41" s="2"/>
      <c r="H41" s="2"/>
    </row>
    <row r="42" spans="1:8">
      <c r="A42" s="2" t="s">
        <v>84</v>
      </c>
      <c r="B42" s="13" t="s">
        <v>87</v>
      </c>
      <c r="C42" s="5">
        <f>($C$12-0.8*$C$35)/2</f>
        <v>230</v>
      </c>
      <c r="D42" s="7" t="s">
        <v>25</v>
      </c>
      <c r="E42" s="2" t="s">
        <v>88</v>
      </c>
      <c r="F42" s="2"/>
      <c r="G42" s="2"/>
      <c r="H42" s="2"/>
    </row>
    <row r="43" spans="1:8">
      <c r="A43" s="2" t="s">
        <v>84</v>
      </c>
      <c r="B43" s="13" t="s">
        <v>89</v>
      </c>
      <c r="C43" s="5">
        <f>IF($C$23="Sí",$C$41,MAX($C$41,$C$42))</f>
        <v>162.5</v>
      </c>
      <c r="D43" s="7" t="s">
        <v>25</v>
      </c>
      <c r="E43" s="2" t="s">
        <v>90</v>
      </c>
      <c r="F43" s="2"/>
      <c r="G43" s="2"/>
      <c r="H43" s="2"/>
    </row>
    <row r="44" spans="1:8">
      <c r="A44" s="2" t="s">
        <v>84</v>
      </c>
      <c r="B44" s="13" t="s">
        <v>91</v>
      </c>
      <c r="C44" s="5">
        <f>CEILING($C$34+150,50)</f>
        <v>650</v>
      </c>
      <c r="D44" s="7" t="s">
        <v>25</v>
      </c>
      <c r="E44" s="2" t="s">
        <v>92</v>
      </c>
      <c r="F44" s="2"/>
      <c r="G44" s="2"/>
      <c r="H44" s="2" t="s">
        <v>93</v>
      </c>
    </row>
    <row r="45" spans="1:8">
      <c r="A45" s="2" t="s">
        <v>84</v>
      </c>
      <c r="B45" s="13" t="s">
        <v>94</v>
      </c>
      <c r="C45" s="5">
        <f>CEILING($C$35+150,50)</f>
        <v>450</v>
      </c>
      <c r="D45" s="7" t="s">
        <v>25</v>
      </c>
      <c r="E45" s="2" t="s">
        <v>95</v>
      </c>
      <c r="F45" s="2"/>
      <c r="G45" s="2"/>
      <c r="H45" s="2" t="s">
        <v>93</v>
      </c>
    </row>
    <row r="46" spans="1:8" ht="17.75" customHeight="1">
      <c r="A46" s="19" t="s">
        <v>96</v>
      </c>
      <c r="B46" s="19"/>
      <c r="C46" s="20"/>
      <c r="D46" s="21"/>
      <c r="E46" s="19"/>
      <c r="F46" s="19"/>
      <c r="G46" s="19"/>
      <c r="H46" s="19"/>
    </row>
    <row r="47" spans="1:8">
      <c r="A47" s="2" t="s">
        <v>97</v>
      </c>
      <c r="B47" s="13" t="s">
        <v>98</v>
      </c>
      <c r="C47" s="4">
        <v>1212.009</v>
      </c>
      <c r="D47" s="7" t="s">
        <v>99</v>
      </c>
      <c r="E47" s="2" t="s">
        <v>100</v>
      </c>
      <c r="F47" s="2" t="s">
        <v>620</v>
      </c>
      <c r="G47" s="2"/>
      <c r="H47" s="2"/>
    </row>
    <row r="48" spans="1:8">
      <c r="A48" s="2" t="s">
        <v>97</v>
      </c>
      <c r="B48" s="13" t="s">
        <v>101</v>
      </c>
      <c r="C48" s="4">
        <v>1609.37</v>
      </c>
      <c r="D48" s="7" t="s">
        <v>102</v>
      </c>
      <c r="E48" s="2" t="s">
        <v>103</v>
      </c>
      <c r="F48" s="2" t="s">
        <v>620</v>
      </c>
      <c r="G48" s="2"/>
      <c r="H48" s="2"/>
    </row>
    <row r="49" spans="1:8">
      <c r="A49" s="2" t="s">
        <v>97</v>
      </c>
      <c r="B49" s="13" t="s">
        <v>104</v>
      </c>
      <c r="C49" s="4">
        <v>712.03</v>
      </c>
      <c r="D49" s="7" t="s">
        <v>99</v>
      </c>
      <c r="E49" s="2" t="s">
        <v>105</v>
      </c>
      <c r="F49" s="2" t="s">
        <v>620</v>
      </c>
      <c r="G49" s="2"/>
      <c r="H49" s="2"/>
    </row>
    <row r="50" spans="1:8">
      <c r="A50" s="2" t="s">
        <v>97</v>
      </c>
      <c r="B50" s="13" t="s">
        <v>106</v>
      </c>
      <c r="C50" s="4">
        <v>1101.0712000000001</v>
      </c>
      <c r="D50" s="7" t="s">
        <v>99</v>
      </c>
      <c r="E50" s="2" t="s">
        <v>107</v>
      </c>
      <c r="F50" s="2" t="s">
        <v>625</v>
      </c>
      <c r="G50" s="2"/>
      <c r="H50" s="2"/>
    </row>
    <row r="51" spans="1:8">
      <c r="A51" s="2" t="s">
        <v>97</v>
      </c>
      <c r="B51" s="13" t="s">
        <v>108</v>
      </c>
      <c r="C51" s="4">
        <v>1687.39</v>
      </c>
      <c r="D51" s="7" t="s">
        <v>102</v>
      </c>
      <c r="E51" s="2" t="s">
        <v>109</v>
      </c>
      <c r="F51" s="2" t="s">
        <v>625</v>
      </c>
      <c r="G51" s="2"/>
      <c r="H51" s="2"/>
    </row>
    <row r="52" spans="1:8">
      <c r="A52" s="2" t="s">
        <v>97</v>
      </c>
      <c r="B52" s="13" t="s">
        <v>110</v>
      </c>
      <c r="C52" s="4">
        <v>847.64</v>
      </c>
      <c r="D52" s="7" t="s">
        <v>99</v>
      </c>
      <c r="E52" s="2" t="s">
        <v>111</v>
      </c>
      <c r="F52" s="2" t="s">
        <v>625</v>
      </c>
      <c r="G52" s="2"/>
      <c r="H52" s="2"/>
    </row>
    <row r="53" spans="1:8">
      <c r="A53" s="2" t="s">
        <v>112</v>
      </c>
      <c r="B53" s="13" t="s">
        <v>113</v>
      </c>
      <c r="C53" s="5">
        <f>1.1*$C$7*$C$6*$C$40/1000000</f>
        <v>2009.8404676069192</v>
      </c>
      <c r="D53" s="7" t="s">
        <v>102</v>
      </c>
      <c r="E53" s="2" t="s">
        <v>114</v>
      </c>
      <c r="F53" s="2"/>
      <c r="G53" s="2"/>
      <c r="H53" s="2"/>
    </row>
    <row r="54" spans="1:8">
      <c r="A54" s="2" t="s">
        <v>112</v>
      </c>
      <c r="B54" s="13" t="s">
        <v>115</v>
      </c>
      <c r="C54" s="5">
        <f>MIN($C$48,$C$53)</f>
        <v>1609.37</v>
      </c>
      <c r="D54" s="7" t="s">
        <v>102</v>
      </c>
      <c r="E54" s="2" t="s">
        <v>116</v>
      </c>
      <c r="F54" s="2"/>
      <c r="G54" s="2"/>
      <c r="H54" s="2"/>
    </row>
    <row r="55" spans="1:8">
      <c r="A55" s="2" t="s">
        <v>112</v>
      </c>
      <c r="B55" s="13" t="s">
        <v>117</v>
      </c>
      <c r="C55" s="5">
        <f>MIN($C$51,$C$53)</f>
        <v>1687.39</v>
      </c>
      <c r="D55" s="7" t="s">
        <v>102</v>
      </c>
      <c r="E55" s="2" t="s">
        <v>118</v>
      </c>
      <c r="F55" s="2"/>
      <c r="G55" s="2"/>
      <c r="H55" s="2"/>
    </row>
    <row r="56" spans="1:8">
      <c r="A56" s="2" t="s">
        <v>112</v>
      </c>
      <c r="B56" s="13" t="s">
        <v>119</v>
      </c>
      <c r="C56" s="5">
        <f>2*$C$7*$C$6*$C$22/(1000*$C$21)</f>
        <v>1461.7021582595778</v>
      </c>
      <c r="D56" s="7" t="s">
        <v>99</v>
      </c>
      <c r="E56" s="2" t="s">
        <v>120</v>
      </c>
      <c r="F56" s="2"/>
      <c r="G56" s="2"/>
      <c r="H56" s="2"/>
    </row>
    <row r="57" spans="1:8">
      <c r="A57" s="2" t="s">
        <v>112</v>
      </c>
      <c r="B57" s="13" t="s">
        <v>121</v>
      </c>
      <c r="C57" s="5">
        <f>0.7*$C$6*$C$22/(1000*$C$21)</f>
        <v>465.08705035532006</v>
      </c>
      <c r="D57" s="7" t="s">
        <v>99</v>
      </c>
      <c r="E57" s="2" t="s">
        <v>122</v>
      </c>
      <c r="F57" s="2"/>
      <c r="G57" s="2"/>
      <c r="H57" s="2"/>
    </row>
    <row r="58" spans="1:8">
      <c r="A58" s="2" t="s">
        <v>112</v>
      </c>
      <c r="B58" s="13" t="s">
        <v>123</v>
      </c>
      <c r="C58" s="5">
        <f>MAX(MIN($C$52,$C$56),$C$57)</f>
        <v>847.64</v>
      </c>
      <c r="D58" s="7" t="s">
        <v>99</v>
      </c>
      <c r="E58" s="2" t="s">
        <v>124</v>
      </c>
      <c r="F58" s="2"/>
      <c r="G58" s="2"/>
      <c r="H58" s="2"/>
    </row>
    <row r="59" spans="1:8" ht="17.75" customHeight="1">
      <c r="A59" s="19" t="s">
        <v>125</v>
      </c>
      <c r="B59" s="19"/>
      <c r="C59" s="20"/>
      <c r="D59" s="21"/>
      <c r="E59" s="19"/>
      <c r="F59" s="19"/>
      <c r="G59" s="19"/>
      <c r="H59" s="19"/>
    </row>
    <row r="60" spans="1:8">
      <c r="A60" s="2" t="s">
        <v>126</v>
      </c>
      <c r="B60" s="13" t="s">
        <v>127</v>
      </c>
      <c r="C60" s="5">
        <f>$C$54/$C$47*1000</f>
        <v>1327.8531760077688</v>
      </c>
      <c r="D60" s="7" t="s">
        <v>25</v>
      </c>
      <c r="E60" s="2" t="s">
        <v>128</v>
      </c>
      <c r="F60" s="2"/>
      <c r="G60" s="2"/>
      <c r="H60" s="2"/>
    </row>
    <row r="61" spans="1:8">
      <c r="A61" s="2" t="s">
        <v>129</v>
      </c>
      <c r="B61" s="13" t="s">
        <v>130</v>
      </c>
      <c r="C61" s="5">
        <f>$C$11*0.85*$C$10*$C$12</f>
        <v>10829</v>
      </c>
      <c r="D61" s="7" t="s">
        <v>131</v>
      </c>
      <c r="E61" s="2" t="s">
        <v>132</v>
      </c>
      <c r="F61" s="2"/>
      <c r="G61" s="2"/>
      <c r="H61" s="2"/>
    </row>
    <row r="62" spans="1:8">
      <c r="A62" s="2" t="s">
        <v>126</v>
      </c>
      <c r="B62" s="13" t="s">
        <v>133</v>
      </c>
      <c r="C62" s="5">
        <f>$C$13/2-($C$47*1000)/(2*$C$61)</f>
        <v>344.03873857235203</v>
      </c>
      <c r="D62" s="7" t="s">
        <v>25</v>
      </c>
      <c r="E62" s="2" t="s">
        <v>134</v>
      </c>
      <c r="F62" s="2"/>
      <c r="G62" s="2"/>
      <c r="H62" s="2"/>
    </row>
    <row r="63" spans="1:8">
      <c r="A63" s="2" t="s">
        <v>135</v>
      </c>
      <c r="B63" s="13" t="s">
        <v>136</v>
      </c>
      <c r="C63" s="5" t="str">
        <f>IF($C$60&lt;=$C$62,"Momento pequeño","Momento grande")</f>
        <v>Momento grande</v>
      </c>
      <c r="D63" s="7"/>
      <c r="E63" s="2" t="s">
        <v>137</v>
      </c>
      <c r="F63" s="2"/>
      <c r="G63" s="2"/>
      <c r="H63" s="2"/>
    </row>
    <row r="64" spans="1:8">
      <c r="A64" s="2" t="s">
        <v>129</v>
      </c>
      <c r="B64" s="2" t="s">
        <v>138</v>
      </c>
      <c r="C64" s="5">
        <f>IF($C$63="Momento pequeño",$C$13-2*$C$60,0)</f>
        <v>0</v>
      </c>
      <c r="D64" s="7" t="s">
        <v>25</v>
      </c>
      <c r="E64" s="2" t="s">
        <v>139</v>
      </c>
      <c r="F64" s="2"/>
      <c r="G64" s="2"/>
      <c r="H64" s="2"/>
    </row>
    <row r="65" spans="1:11">
      <c r="A65" s="2" t="s">
        <v>129</v>
      </c>
      <c r="B65" s="2" t="s">
        <v>140</v>
      </c>
      <c r="C65" s="5">
        <f>IF($C$64&gt;0,$C$47*1000/$C$64,0)</f>
        <v>0</v>
      </c>
      <c r="D65" s="7" t="s">
        <v>131</v>
      </c>
      <c r="E65" s="2" t="s">
        <v>141</v>
      </c>
      <c r="F65" s="2"/>
      <c r="G65" s="2"/>
      <c r="H65" s="2"/>
    </row>
    <row r="66" spans="1:11">
      <c r="A66" s="2" t="s">
        <v>129</v>
      </c>
      <c r="B66" s="2" t="s">
        <v>142</v>
      </c>
      <c r="C66" s="5">
        <f>IF($C$64&gt;0,$C$47*1000/($C$12*$C$64),0)</f>
        <v>0</v>
      </c>
      <c r="D66" s="7" t="s">
        <v>9</v>
      </c>
      <c r="E66" s="2" t="s">
        <v>143</v>
      </c>
      <c r="F66" s="2"/>
      <c r="G66" s="2"/>
      <c r="H66" s="2"/>
    </row>
    <row r="67" spans="1:11">
      <c r="A67" s="2" t="s">
        <v>144</v>
      </c>
      <c r="B67" s="2" t="s">
        <v>145</v>
      </c>
      <c r="C67" s="5">
        <f>IF(AND($C$63="Momento pequeño",$C$64&gt;=$C$43),1.49*$C$43*SQRT($C$66/$C$8),0)</f>
        <v>0</v>
      </c>
      <c r="D67" s="7" t="s">
        <v>25</v>
      </c>
      <c r="E67" s="2" t="s">
        <v>146</v>
      </c>
      <c r="F67" s="2"/>
      <c r="G67" s="2"/>
      <c r="H67" s="2"/>
    </row>
    <row r="68" spans="1:11" ht="26">
      <c r="A68" s="2" t="s">
        <v>147</v>
      </c>
      <c r="B68" s="2" t="s">
        <v>148</v>
      </c>
      <c r="C68" s="5" t="str">
        <f>IF($C$63="Momento pequeño","CUMPLE MÉTODO","REVISAR COMO MOMENTO GRANDE")</f>
        <v>REVISAR COMO MOMENTO GRANDE</v>
      </c>
      <c r="D68" s="7"/>
      <c r="E68" s="2" t="s">
        <v>149</v>
      </c>
      <c r="F68" s="2"/>
      <c r="G68" s="2"/>
      <c r="H68" s="2"/>
    </row>
    <row r="69" spans="1:11" ht="17.75" customHeight="1">
      <c r="A69" s="19" t="s">
        <v>150</v>
      </c>
      <c r="B69" s="19"/>
      <c r="C69" s="20"/>
      <c r="D69" s="21"/>
      <c r="E69" s="19"/>
      <c r="F69" s="19"/>
      <c r="G69" s="19"/>
      <c r="H69" s="19"/>
    </row>
    <row r="70" spans="1:11">
      <c r="A70" s="2" t="s">
        <v>126</v>
      </c>
      <c r="B70" s="13" t="s">
        <v>151</v>
      </c>
      <c r="C70" s="5">
        <f>$C$55/$C$50*1000</f>
        <v>1532.4985341547394</v>
      </c>
      <c r="D70" s="7" t="s">
        <v>25</v>
      </c>
      <c r="E70" s="2" t="s">
        <v>128</v>
      </c>
      <c r="F70" s="2"/>
      <c r="G70" s="2"/>
      <c r="H70" s="2"/>
    </row>
    <row r="71" spans="1:11">
      <c r="A71" s="2" t="s">
        <v>129</v>
      </c>
      <c r="B71" s="13" t="s">
        <v>152</v>
      </c>
      <c r="C71" s="5">
        <f>$C$61</f>
        <v>10829</v>
      </c>
      <c r="D71" s="7" t="s">
        <v>131</v>
      </c>
      <c r="E71" s="2" t="s">
        <v>132</v>
      </c>
      <c r="F71" s="2"/>
      <c r="G71" s="2"/>
      <c r="H71" s="2"/>
    </row>
    <row r="72" spans="1:11">
      <c r="A72" s="2" t="s">
        <v>126</v>
      </c>
      <c r="B72" s="13" t="s">
        <v>153</v>
      </c>
      <c r="C72" s="5">
        <f>$C$13/2-($C$50*1000)/(2*$C$71)</f>
        <v>349.16099362822052</v>
      </c>
      <c r="D72" s="7" t="s">
        <v>25</v>
      </c>
      <c r="E72" s="2" t="s">
        <v>134</v>
      </c>
      <c r="F72" s="2"/>
      <c r="G72" s="2"/>
      <c r="H72" s="2"/>
    </row>
    <row r="73" spans="1:11">
      <c r="A73" s="2" t="s">
        <v>135</v>
      </c>
      <c r="B73" s="13" t="s">
        <v>154</v>
      </c>
      <c r="C73" s="5" t="str">
        <f>IF($C$70&gt;$C$72,"Momento grande","Momento pequeño")</f>
        <v>Momento grande</v>
      </c>
      <c r="D73" s="7"/>
      <c r="E73" s="2" t="s">
        <v>155</v>
      </c>
      <c r="F73" s="2"/>
      <c r="G73" s="2"/>
      <c r="H73" s="2"/>
    </row>
    <row r="74" spans="1:11">
      <c r="A74" s="2" t="s">
        <v>84</v>
      </c>
      <c r="B74" s="13" t="s">
        <v>156</v>
      </c>
      <c r="C74" s="5">
        <f>$C$13/2-$C$14</f>
        <v>315</v>
      </c>
      <c r="D74" s="7" t="s">
        <v>25</v>
      </c>
      <c r="E74" s="2" t="s">
        <v>157</v>
      </c>
      <c r="F74" s="2"/>
      <c r="G74" s="2"/>
      <c r="H74" s="2"/>
    </row>
    <row r="75" spans="1:11">
      <c r="A75" s="2" t="s">
        <v>158</v>
      </c>
      <c r="B75" s="13" t="s">
        <v>159</v>
      </c>
      <c r="C75" s="5">
        <f>($C$74+$C$13/2)^2</f>
        <v>511225</v>
      </c>
      <c r="D75" s="7" t="s">
        <v>160</v>
      </c>
      <c r="E75" s="2" t="s">
        <v>161</v>
      </c>
      <c r="F75" s="2"/>
      <c r="G75" s="2"/>
      <c r="H75" s="2"/>
    </row>
    <row r="76" spans="1:11">
      <c r="A76" s="2" t="s">
        <v>158</v>
      </c>
      <c r="B76" s="13" t="s">
        <v>162</v>
      </c>
      <c r="C76" s="5">
        <f>2*$C$50*1000*($C$70+$C$74)/$C$71</f>
        <v>375699.95899898425</v>
      </c>
      <c r="D76" s="7" t="s">
        <v>160</v>
      </c>
      <c r="E76" s="2" t="s">
        <v>163</v>
      </c>
      <c r="F76" s="2"/>
      <c r="G76" s="2"/>
      <c r="H76" s="2"/>
    </row>
    <row r="77" spans="1:11" ht="25.5" customHeight="1">
      <c r="A77" s="2" t="s">
        <v>158</v>
      </c>
      <c r="B77" s="13" t="s">
        <v>164</v>
      </c>
      <c r="C77" s="5" t="str">
        <f>IF($C$75&gt;=$C$76,"CUMPLE","NO CUMPLE - AUMENTAR PLACA")</f>
        <v>CUMPLE</v>
      </c>
      <c r="D77" s="7"/>
      <c r="E77" s="2" t="s">
        <v>165</v>
      </c>
      <c r="F77" s="2"/>
      <c r="G77" s="2"/>
      <c r="H77" s="2"/>
    </row>
    <row r="78" spans="1:11">
      <c r="A78" s="2" t="s">
        <v>129</v>
      </c>
      <c r="B78" s="13" t="s">
        <v>166</v>
      </c>
      <c r="C78" s="5">
        <f>IF($C$77="CUMPLE",($C$74+$C$13/2)-SQRT(($C$74+$C$13/2)^2-2*$C$50*1000*($C$70+$C$74)/$C$71),0)</f>
        <v>346.86274162886508</v>
      </c>
      <c r="D78" s="7" t="s">
        <v>25</v>
      </c>
      <c r="E78" s="2" t="s">
        <v>167</v>
      </c>
      <c r="F78" s="2"/>
      <c r="G78" s="2"/>
      <c r="H78" s="2"/>
    </row>
    <row r="79" spans="1:11">
      <c r="A79" s="2" t="s">
        <v>129</v>
      </c>
      <c r="B79" s="13" t="s">
        <v>168</v>
      </c>
      <c r="C79" s="5">
        <f>IF($C$77="CUMPLE",($C$74+$C$13/2)+SQRT(($C$74+$C$13/2)^2-2*$C$50*1000*($C$70+$C$74)/$C$71),0)</f>
        <v>1083.137258371135</v>
      </c>
      <c r="D79" s="7" t="s">
        <v>25</v>
      </c>
      <c r="E79" s="2" t="s">
        <v>169</v>
      </c>
      <c r="F79" s="2"/>
      <c r="G79" s="2">
        <f>IF($C$73="Momento grande",$C$71*$C$62/1000-$C$50,0)</f>
        <v>2624.5243</v>
      </c>
      <c r="H79" s="2" t="s">
        <v>170</v>
      </c>
    </row>
    <row r="80" spans="1:11">
      <c r="A80" s="2" t="s">
        <v>171</v>
      </c>
      <c r="B80" s="13" t="s">
        <v>172</v>
      </c>
      <c r="C80" s="5">
        <f>IF($C$73="Momento grande",$C$71*$C$78/1000-$C$50,0)</f>
        <v>2655.1054290989796</v>
      </c>
      <c r="D80" s="7" t="s">
        <v>99</v>
      </c>
      <c r="E80" s="2" t="s">
        <v>173</v>
      </c>
      <c r="F80" s="2"/>
      <c r="G80" s="2"/>
      <c r="H80" s="2"/>
      <c r="K80">
        <f>160*2+500</f>
        <v>820</v>
      </c>
    </row>
    <row r="81" spans="1:12">
      <c r="A81" s="2" t="s">
        <v>174</v>
      </c>
      <c r="B81" s="13" t="s">
        <v>175</v>
      </c>
      <c r="C81" s="5">
        <f>$C$11*0.85*$C$10</f>
        <v>15.469999999999999</v>
      </c>
      <c r="D81" s="7" t="s">
        <v>9</v>
      </c>
      <c r="E81" s="2" t="s">
        <v>176</v>
      </c>
      <c r="F81" s="2"/>
      <c r="G81" s="2"/>
      <c r="H81" s="2"/>
    </row>
    <row r="82" spans="1:12">
      <c r="A82" s="2" t="s">
        <v>144</v>
      </c>
      <c r="B82" s="13" t="s">
        <v>177</v>
      </c>
      <c r="C82" s="5">
        <f>IF($C$78&gt;=$C$43,1.49*$C$43*SQRT($C$81/$C$8),0)</f>
        <v>51.271407878577406</v>
      </c>
      <c r="D82" s="7" t="s">
        <v>25</v>
      </c>
      <c r="E82" s="2" t="s">
        <v>178</v>
      </c>
      <c r="F82" s="2"/>
      <c r="G82" s="2"/>
      <c r="H82" s="2"/>
    </row>
    <row r="83" spans="1:12">
      <c r="A83" s="2" t="s">
        <v>84</v>
      </c>
      <c r="B83" s="13" t="s">
        <v>179</v>
      </c>
      <c r="C83" s="5">
        <f>$C$74-($C$34-$C$37)/2</f>
        <v>79</v>
      </c>
      <c r="D83" s="7" t="s">
        <v>25</v>
      </c>
      <c r="E83" s="2" t="s">
        <v>180</v>
      </c>
      <c r="F83" s="2"/>
      <c r="G83" s="2"/>
      <c r="H83" s="2"/>
      <c r="L83">
        <f>800-500-80*2</f>
        <v>140</v>
      </c>
    </row>
    <row r="84" spans="1:12">
      <c r="A84" s="2" t="s">
        <v>181</v>
      </c>
      <c r="B84" s="13" t="s">
        <v>182</v>
      </c>
      <c r="C84" s="5">
        <f>$C$80*$C$83/1000</f>
        <v>209.7533288988194</v>
      </c>
      <c r="D84" s="7" t="s">
        <v>102</v>
      </c>
      <c r="E84" s="2" t="s">
        <v>183</v>
      </c>
      <c r="F84" s="2"/>
      <c r="G84" s="2"/>
      <c r="H84" s="2"/>
    </row>
    <row r="85" spans="1:12">
      <c r="A85" s="2" t="s">
        <v>144</v>
      </c>
      <c r="B85" s="13" t="s">
        <v>184</v>
      </c>
      <c r="C85" s="5">
        <f>IF($C$80&gt;0,2.11*SQRT($C$80*1000*$C$83/($C$12*$C$8)),0)</f>
        <v>62.183951901438938</v>
      </c>
      <c r="D85" s="7" t="s">
        <v>25</v>
      </c>
      <c r="E85" s="2" t="s">
        <v>185</v>
      </c>
      <c r="F85" s="2"/>
      <c r="G85" s="2"/>
      <c r="H85" s="2"/>
    </row>
    <row r="86" spans="1:12">
      <c r="A86" s="2" t="s">
        <v>144</v>
      </c>
      <c r="B86" s="13" t="s">
        <v>186</v>
      </c>
      <c r="C86" s="5">
        <f>MAX($C$67,$C$82,$C$85)</f>
        <v>62.183951901438938</v>
      </c>
      <c r="D86" s="7" t="s">
        <v>25</v>
      </c>
      <c r="E86" s="2" t="s">
        <v>187</v>
      </c>
      <c r="F86" s="2"/>
      <c r="G86" s="2"/>
      <c r="H86" s="2"/>
    </row>
    <row r="87" spans="1:12">
      <c r="A87" s="2" t="s">
        <v>3</v>
      </c>
      <c r="B87" s="13" t="s">
        <v>188</v>
      </c>
      <c r="C87" s="4">
        <v>63.5</v>
      </c>
      <c r="D87" s="7" t="s">
        <v>25</v>
      </c>
      <c r="E87" s="2" t="s">
        <v>189</v>
      </c>
      <c r="F87" s="2"/>
      <c r="G87" s="2"/>
      <c r="H87" s="2"/>
    </row>
    <row r="88" spans="1:12">
      <c r="A88" s="2" t="s">
        <v>147</v>
      </c>
      <c r="B88" s="2" t="s">
        <v>190</v>
      </c>
      <c r="C88" s="5" t="str">
        <f>IF($C$87&gt;=$C$86,"CUMPLE","NO CUMPLE")</f>
        <v>CUMPLE</v>
      </c>
      <c r="D88" s="7"/>
      <c r="E88" s="2" t="s">
        <v>191</v>
      </c>
      <c r="F88" s="2"/>
      <c r="G88" s="2"/>
      <c r="H88" s="2"/>
    </row>
    <row r="89" spans="1:12" ht="17.75" customHeight="1">
      <c r="A89" s="19" t="s">
        <v>192</v>
      </c>
      <c r="B89" s="19"/>
      <c r="C89" s="20"/>
      <c r="D89" s="21"/>
      <c r="E89" s="19"/>
      <c r="F89" s="19"/>
      <c r="G89" s="19"/>
      <c r="H89" s="19"/>
    </row>
    <row r="90" spans="1:12">
      <c r="A90" s="2" t="s">
        <v>3</v>
      </c>
      <c r="B90" s="13" t="s">
        <v>193</v>
      </c>
      <c r="C90" s="4">
        <v>31.75</v>
      </c>
      <c r="D90" s="7" t="s">
        <v>25</v>
      </c>
      <c r="E90" s="2" t="s">
        <v>194</v>
      </c>
      <c r="F90" s="2"/>
      <c r="G90" s="2"/>
      <c r="H90" s="2"/>
    </row>
    <row r="91" spans="1:12">
      <c r="A91" s="2" t="s">
        <v>195</v>
      </c>
      <c r="B91" s="13" t="s">
        <v>196</v>
      </c>
      <c r="C91" s="5">
        <f>$C$90/25.4</f>
        <v>1.25</v>
      </c>
      <c r="D91" s="7" t="s">
        <v>197</v>
      </c>
      <c r="E91" s="2" t="s">
        <v>198</v>
      </c>
      <c r="F91" s="2"/>
      <c r="G91" s="2"/>
      <c r="H91" s="2"/>
    </row>
    <row r="92" spans="1:12">
      <c r="A92" s="2" t="s">
        <v>195</v>
      </c>
      <c r="B92" s="13" t="s">
        <v>199</v>
      </c>
      <c r="C92" s="5">
        <f>VLOOKUP($C$90,CATALOGOS!$A$2:$G$10,4,FALSE)</f>
        <v>7</v>
      </c>
      <c r="D92" s="7" t="s">
        <v>200</v>
      </c>
      <c r="E92" s="2" t="s">
        <v>201</v>
      </c>
      <c r="F92" s="2"/>
      <c r="G92" s="2"/>
      <c r="H92" s="2"/>
    </row>
    <row r="93" spans="1:12">
      <c r="A93" s="2" t="s">
        <v>3</v>
      </c>
      <c r="B93" s="13" t="s">
        <v>202</v>
      </c>
      <c r="C93" s="4">
        <v>840</v>
      </c>
      <c r="D93" s="7" t="s">
        <v>9</v>
      </c>
      <c r="E93" s="2" t="s">
        <v>203</v>
      </c>
      <c r="F93" s="2"/>
      <c r="G93" s="2"/>
      <c r="H93" s="2"/>
    </row>
    <row r="94" spans="1:12">
      <c r="A94" s="2" t="s">
        <v>3</v>
      </c>
      <c r="B94" s="13" t="s">
        <v>204</v>
      </c>
      <c r="C94" s="4">
        <v>0.75</v>
      </c>
      <c r="D94" s="7" t="s">
        <v>13</v>
      </c>
      <c r="E94" s="2" t="s">
        <v>205</v>
      </c>
      <c r="F94" s="2"/>
      <c r="G94" s="2"/>
      <c r="H94" s="2"/>
    </row>
    <row r="95" spans="1:12">
      <c r="A95" s="2" t="s">
        <v>3</v>
      </c>
      <c r="B95" s="13" t="s">
        <v>206</v>
      </c>
      <c r="C95" s="4">
        <v>7</v>
      </c>
      <c r="D95" s="7" t="s">
        <v>207</v>
      </c>
      <c r="E95" s="2" t="s">
        <v>208</v>
      </c>
      <c r="F95" s="2"/>
      <c r="G95" s="2"/>
      <c r="H95" s="2"/>
    </row>
    <row r="96" spans="1:12">
      <c r="A96" s="2" t="s">
        <v>3</v>
      </c>
      <c r="B96" s="13" t="s">
        <v>209</v>
      </c>
      <c r="C96" s="4">
        <v>14</v>
      </c>
      <c r="D96" s="7" t="s">
        <v>207</v>
      </c>
      <c r="E96" s="2" t="s">
        <v>210</v>
      </c>
      <c r="F96" s="2"/>
      <c r="G96" s="2"/>
      <c r="H96" s="2"/>
    </row>
    <row r="97" spans="1:12">
      <c r="A97" s="2" t="s">
        <v>195</v>
      </c>
      <c r="B97" s="13" t="s">
        <v>211</v>
      </c>
      <c r="C97" s="5">
        <f>SQRT(4*$C$80*1000/($C$94*0.75*$C$93*$C$95*PI()))</f>
        <v>31.970248961740815</v>
      </c>
      <c r="D97" s="7" t="s">
        <v>25</v>
      </c>
      <c r="E97" s="2" t="s">
        <v>212</v>
      </c>
      <c r="F97" s="2">
        <f>C80/C99</f>
        <v>0.96294826253234966</v>
      </c>
      <c r="G97" s="2"/>
      <c r="H97" s="2"/>
    </row>
    <row r="98" spans="1:12">
      <c r="A98" s="2" t="s">
        <v>195</v>
      </c>
      <c r="B98" s="13" t="s">
        <v>213</v>
      </c>
      <c r="C98" s="5">
        <f>PI()/4*($C$91-0.9743/$C$92)^2*25.4^2</f>
        <v>625.23060332275122</v>
      </c>
      <c r="D98" s="7" t="s">
        <v>160</v>
      </c>
      <c r="E98" s="2" t="s">
        <v>214</v>
      </c>
      <c r="F98" s="2"/>
      <c r="G98" s="2"/>
      <c r="H98" s="2"/>
    </row>
    <row r="99" spans="1:12">
      <c r="A99" s="2" t="s">
        <v>195</v>
      </c>
      <c r="B99" s="13" t="s">
        <v>215</v>
      </c>
      <c r="C99" s="5">
        <f>$C$94*$C$95*$C$98*$C$93/1000</f>
        <v>2757.2669606533332</v>
      </c>
      <c r="D99" s="7" t="s">
        <v>99</v>
      </c>
      <c r="E99" s="2" t="s">
        <v>216</v>
      </c>
      <c r="F99" s="2"/>
      <c r="G99" s="2"/>
      <c r="H99" s="2"/>
    </row>
    <row r="100" spans="1:12">
      <c r="A100" s="2" t="s">
        <v>147</v>
      </c>
      <c r="B100" s="13" t="s">
        <v>217</v>
      </c>
      <c r="C100" s="5" t="str">
        <f>IF($C$99&gt;=$C$80,"CUMPLE","NO CUMPLE")</f>
        <v>CUMPLE</v>
      </c>
      <c r="D100" s="7"/>
      <c r="E100" s="2" t="s">
        <v>218</v>
      </c>
      <c r="F100" s="2"/>
      <c r="G100" s="2"/>
      <c r="H100" s="2"/>
    </row>
    <row r="101" spans="1:12" ht="17.75" customHeight="1">
      <c r="A101" s="19" t="s">
        <v>219</v>
      </c>
      <c r="B101" s="19"/>
      <c r="C101" s="20"/>
      <c r="D101" s="21"/>
      <c r="E101" s="19"/>
      <c r="F101" s="19"/>
      <c r="G101" s="19"/>
      <c r="H101" s="19"/>
    </row>
    <row r="102" spans="1:12">
      <c r="A102" s="2" t="s">
        <v>220</v>
      </c>
      <c r="B102" s="13" t="s">
        <v>221</v>
      </c>
      <c r="C102" s="5">
        <f>$C$13+2*$C$16</f>
        <v>900</v>
      </c>
      <c r="D102" s="7" t="s">
        <v>25</v>
      </c>
      <c r="E102" s="2" t="s">
        <v>222</v>
      </c>
      <c r="F102" s="2"/>
      <c r="G102" s="2"/>
      <c r="H102" s="2"/>
    </row>
    <row r="103" spans="1:12">
      <c r="A103" s="2" t="s">
        <v>220</v>
      </c>
      <c r="B103" s="13" t="s">
        <v>223</v>
      </c>
      <c r="C103" s="5">
        <f>$C$12+2*$C$17</f>
        <v>850</v>
      </c>
      <c r="D103" s="7" t="s">
        <v>25</v>
      </c>
      <c r="E103" s="2" t="s">
        <v>224</v>
      </c>
      <c r="F103" s="2"/>
      <c r="G103" s="2"/>
      <c r="H103" s="2"/>
    </row>
    <row r="104" spans="1:12">
      <c r="A104" s="2" t="s">
        <v>195</v>
      </c>
      <c r="B104" s="13" t="s">
        <v>225</v>
      </c>
      <c r="C104" s="5">
        <f>MIN(C14+C16,$C$15+$C$17)</f>
        <v>125</v>
      </c>
      <c r="D104" s="7" t="s">
        <v>25</v>
      </c>
      <c r="E104" s="2" t="s">
        <v>226</v>
      </c>
      <c r="F104" s="2"/>
      <c r="G104" s="2"/>
      <c r="H104" s="2"/>
    </row>
    <row r="105" spans="1:12">
      <c r="A105" s="2" t="s">
        <v>195</v>
      </c>
      <c r="B105" s="13" t="s">
        <v>227</v>
      </c>
      <c r="C105" s="5">
        <f>1.5*$C$18</f>
        <v>675</v>
      </c>
      <c r="D105" s="7" t="s">
        <v>25</v>
      </c>
      <c r="E105" s="2" t="s">
        <v>228</v>
      </c>
      <c r="F105" s="2"/>
      <c r="G105" s="2"/>
      <c r="H105" s="2"/>
    </row>
    <row r="106" spans="1:12">
      <c r="A106" s="2" t="s">
        <v>195</v>
      </c>
      <c r="B106" s="13" t="s">
        <v>229</v>
      </c>
      <c r="C106" s="5">
        <f>MAX(($C$105-$C$104)/2,0)</f>
        <v>275</v>
      </c>
      <c r="D106" s="7" t="s">
        <v>25</v>
      </c>
      <c r="E106" s="2" t="s">
        <v>230</v>
      </c>
      <c r="F106" s="2"/>
      <c r="G106" s="2"/>
      <c r="H106" s="2"/>
    </row>
    <row r="107" spans="1:12">
      <c r="A107" s="2" t="s">
        <v>231</v>
      </c>
      <c r="B107" s="13" t="s">
        <v>232</v>
      </c>
      <c r="C107" s="5">
        <f>($C$104+$C$105)*$C$103</f>
        <v>680000</v>
      </c>
      <c r="D107" s="7" t="s">
        <v>160</v>
      </c>
      <c r="E107" s="2" t="s">
        <v>233</v>
      </c>
      <c r="F107" s="2"/>
      <c r="G107" s="2"/>
      <c r="H107" s="2"/>
    </row>
    <row r="108" spans="1:12">
      <c r="A108" s="2" t="s">
        <v>231</v>
      </c>
      <c r="B108" s="13" t="s">
        <v>234</v>
      </c>
      <c r="C108" s="5">
        <f>9*$C$18^2</f>
        <v>1822500</v>
      </c>
      <c r="D108" s="7" t="s">
        <v>160</v>
      </c>
      <c r="E108" s="2" t="s">
        <v>235</v>
      </c>
      <c r="F108" s="2"/>
      <c r="G108" s="2"/>
      <c r="H108" s="2"/>
    </row>
    <row r="109" spans="1:12">
      <c r="A109" s="2" t="s">
        <v>236</v>
      </c>
      <c r="B109" s="13" t="s">
        <v>237</v>
      </c>
      <c r="C109" s="5">
        <f>1/(1+2*$C$106/(3*$C$18))</f>
        <v>0.71052631578947367</v>
      </c>
      <c r="D109" s="7" t="s">
        <v>13</v>
      </c>
      <c r="E109" s="2" t="s">
        <v>238</v>
      </c>
      <c r="F109" s="2"/>
      <c r="G109" s="2"/>
      <c r="H109" s="2"/>
    </row>
    <row r="110" spans="1:12">
      <c r="A110" s="2" t="s">
        <v>236</v>
      </c>
      <c r="B110" s="13" t="s">
        <v>239</v>
      </c>
      <c r="C110" s="5">
        <f>IF($C$104&gt;=$C$105,1,0.7+0.3*$C$104/$C$105)</f>
        <v>0.75555555555555554</v>
      </c>
      <c r="D110" s="7" t="s">
        <v>13</v>
      </c>
      <c r="E110" s="2" t="s">
        <v>240</v>
      </c>
      <c r="F110" s="2"/>
      <c r="G110" s="2"/>
      <c r="H110" s="2"/>
      <c r="L110">
        <f>1.4*8*28*C31*C31/1000</f>
        <v>2540.1599999999994</v>
      </c>
    </row>
    <row r="111" spans="1:12">
      <c r="A111" s="2" t="s">
        <v>3</v>
      </c>
      <c r="B111" s="13" t="s">
        <v>241</v>
      </c>
      <c r="C111" s="4">
        <v>1</v>
      </c>
      <c r="D111" s="7" t="s">
        <v>13</v>
      </c>
      <c r="E111" s="2" t="s">
        <v>242</v>
      </c>
      <c r="F111" s="2"/>
      <c r="G111" s="2"/>
      <c r="H111" s="2" t="s">
        <v>243</v>
      </c>
    </row>
    <row r="112" spans="1:12">
      <c r="A112" s="2" t="s">
        <v>3</v>
      </c>
      <c r="B112" s="13" t="s">
        <v>244</v>
      </c>
      <c r="C112" s="4">
        <v>1</v>
      </c>
      <c r="D112" s="7" t="s">
        <v>13</v>
      </c>
      <c r="E112" s="2" t="s">
        <v>245</v>
      </c>
      <c r="F112" s="2"/>
      <c r="G112" s="2"/>
      <c r="H112" s="2" t="s">
        <v>246</v>
      </c>
    </row>
    <row r="113" spans="1:11">
      <c r="A113" s="2" t="s">
        <v>3</v>
      </c>
      <c r="B113" s="13" t="s">
        <v>247</v>
      </c>
      <c r="C113" s="4">
        <v>1</v>
      </c>
      <c r="D113" s="7" t="s">
        <v>13</v>
      </c>
      <c r="E113" s="2" t="s">
        <v>248</v>
      </c>
      <c r="F113" s="2"/>
      <c r="G113" s="2"/>
      <c r="H113" s="2"/>
    </row>
    <row r="114" spans="1:11">
      <c r="A114" s="2" t="s">
        <v>3</v>
      </c>
      <c r="B114" s="13" t="s">
        <v>249</v>
      </c>
      <c r="C114" s="4">
        <v>10</v>
      </c>
      <c r="D114" s="7" t="s">
        <v>13</v>
      </c>
      <c r="E114" s="2" t="s">
        <v>250</v>
      </c>
      <c r="F114" s="2"/>
      <c r="G114" s="2"/>
      <c r="H114" s="2"/>
    </row>
    <row r="115" spans="1:11">
      <c r="A115" s="2" t="s">
        <v>251</v>
      </c>
      <c r="B115" s="13" t="s">
        <v>252</v>
      </c>
      <c r="C115" s="5">
        <f>$C$114*$C$113*SQRT($C$10)*$C$18^1.5/1000</f>
        <v>505.12374721448242</v>
      </c>
      <c r="D115" s="7" t="s">
        <v>99</v>
      </c>
      <c r="E115" s="2" t="s">
        <v>253</v>
      </c>
      <c r="F115" s="2"/>
      <c r="G115" s="2"/>
      <c r="H115" s="2"/>
    </row>
    <row r="116" spans="1:11">
      <c r="A116" s="2" t="s">
        <v>251</v>
      </c>
      <c r="B116" s="13" t="s">
        <v>254</v>
      </c>
      <c r="C116" s="5">
        <f>$C$107/$C$108*$C$109*$C$110*$C$111*$C$112*$C$115</f>
        <v>101.17791670434337</v>
      </c>
      <c r="D116" s="7" t="s">
        <v>99</v>
      </c>
      <c r="E116" s="2" t="s">
        <v>255</v>
      </c>
      <c r="F116" s="2"/>
      <c r="G116" s="2"/>
      <c r="H116" s="2"/>
    </row>
    <row r="117" spans="1:11">
      <c r="A117" s="2" t="s">
        <v>251</v>
      </c>
      <c r="B117" s="13" t="s">
        <v>256</v>
      </c>
      <c r="C117" s="5">
        <f>$C$94*$C$116</f>
        <v>75.883437528257531</v>
      </c>
      <c r="D117" s="7" t="s">
        <v>99</v>
      </c>
      <c r="E117" s="2" t="s">
        <v>257</v>
      </c>
      <c r="F117" s="2"/>
      <c r="G117" s="2"/>
      <c r="H117" s="2"/>
    </row>
    <row r="118" spans="1:11" ht="39">
      <c r="A118" s="2" t="s">
        <v>147</v>
      </c>
      <c r="B118" s="13" t="s">
        <v>258</v>
      </c>
      <c r="C118" s="5" t="str">
        <f>IF($C$117&gt;=$C$80,"CUMPLE","NO CUMPLE - USAR REFUERZO SUPLEMENTARIO")</f>
        <v>NO CUMPLE - USAR REFUERZO SUPLEMENTARIO</v>
      </c>
      <c r="D118" s="7"/>
      <c r="E118" s="2" t="s">
        <v>259</v>
      </c>
      <c r="F118" s="2"/>
      <c r="G118" s="2"/>
      <c r="H118" s="2"/>
      <c r="K118">
        <f>(750-50-50-12.7*4-7*25.4)/13</f>
        <v>32.415384615384625</v>
      </c>
    </row>
    <row r="119" spans="1:11">
      <c r="A119" s="2" t="s">
        <v>3</v>
      </c>
      <c r="B119" s="13" t="s">
        <v>260</v>
      </c>
      <c r="C119" s="4">
        <v>420</v>
      </c>
      <c r="D119" s="7" t="s">
        <v>9</v>
      </c>
      <c r="E119" s="2" t="s">
        <v>261</v>
      </c>
      <c r="F119" s="2"/>
      <c r="G119" s="2"/>
      <c r="H119" s="2"/>
    </row>
    <row r="120" spans="1:11">
      <c r="A120" s="2" t="s">
        <v>3</v>
      </c>
      <c r="B120" s="13" t="s">
        <v>262</v>
      </c>
      <c r="C120" s="4">
        <v>0.75</v>
      </c>
      <c r="D120" s="7" t="s">
        <v>13</v>
      </c>
      <c r="E120" s="2" t="s">
        <v>263</v>
      </c>
      <c r="F120" s="2"/>
      <c r="G120" s="2"/>
      <c r="H120" s="2"/>
    </row>
    <row r="121" spans="1:11">
      <c r="A121" s="2" t="s">
        <v>3</v>
      </c>
      <c r="B121" s="13" t="s">
        <v>264</v>
      </c>
      <c r="C121" s="4" t="s">
        <v>265</v>
      </c>
      <c r="D121" s="7"/>
      <c r="E121" s="2" t="s">
        <v>266</v>
      </c>
      <c r="F121" s="2"/>
      <c r="G121" s="2"/>
      <c r="H121" s="2"/>
    </row>
    <row r="122" spans="1:11">
      <c r="A122" s="2" t="s">
        <v>267</v>
      </c>
      <c r="B122" s="2" t="s">
        <v>268</v>
      </c>
      <c r="C122" s="5">
        <f>VLOOKUP($C$121,CATALOGOS!$M$2:$O$10,2,FALSE)</f>
        <v>25.4</v>
      </c>
      <c r="D122" s="7" t="s">
        <v>25</v>
      </c>
      <c r="E122" s="2" t="s">
        <v>269</v>
      </c>
      <c r="F122" s="2"/>
      <c r="G122" s="2"/>
      <c r="H122" s="2"/>
    </row>
    <row r="123" spans="1:11">
      <c r="A123" s="2" t="s">
        <v>267</v>
      </c>
      <c r="B123" s="2" t="s">
        <v>270</v>
      </c>
      <c r="C123" s="5">
        <f>VLOOKUP($C$121,CATALOGOS!$M$2:$O$10,3,FALSE)</f>
        <v>5.0670747909749769</v>
      </c>
      <c r="D123" s="7" t="s">
        <v>271</v>
      </c>
      <c r="E123" s="2" t="s">
        <v>269</v>
      </c>
      <c r="F123" s="2"/>
      <c r="G123" s="2"/>
      <c r="H123" s="2"/>
      <c r="K123">
        <f>(C12-2*50-4*9.5-9*25.4)/8</f>
        <v>41.674999999999997</v>
      </c>
    </row>
    <row r="124" spans="1:11">
      <c r="A124" s="2" t="s">
        <v>267</v>
      </c>
      <c r="B124" s="2" t="s">
        <v>272</v>
      </c>
      <c r="C124" s="5">
        <f>$C$80*1000/($C$120*$C$119*100)</f>
        <v>84.289061241237448</v>
      </c>
      <c r="D124" s="7" t="s">
        <v>271</v>
      </c>
      <c r="E124" s="2" t="s">
        <v>273</v>
      </c>
      <c r="F124" s="2"/>
      <c r="G124" s="2"/>
      <c r="H124" s="2"/>
    </row>
    <row r="125" spans="1:11" ht="25">
      <c r="A125" s="2" t="s">
        <v>267</v>
      </c>
      <c r="B125" s="2" t="s">
        <v>274</v>
      </c>
      <c r="C125" s="5">
        <f>CEILING($C$124/$C$123,1)</f>
        <v>17</v>
      </c>
      <c r="D125" s="7" t="s">
        <v>207</v>
      </c>
      <c r="E125" s="2" t="s">
        <v>275</v>
      </c>
      <c r="F125" s="2"/>
      <c r="G125" s="2"/>
      <c r="H125" s="2" t="s">
        <v>276</v>
      </c>
    </row>
    <row r="126" spans="1:11">
      <c r="A126" s="2" t="s">
        <v>277</v>
      </c>
      <c r="B126" s="2" t="s">
        <v>278</v>
      </c>
      <c r="C126" s="5">
        <f>MAX(($C$119*1*1*1*($C$10/105+0.6))/(23*$C$113*SQRT($C$10))*$C$122^1.5,8*$C$122,150)</f>
        <v>382.86450649868806</v>
      </c>
      <c r="D126" s="7" t="s">
        <v>25</v>
      </c>
      <c r="E126" s="2" t="s">
        <v>279</v>
      </c>
      <c r="F126" s="2"/>
      <c r="G126" s="2"/>
      <c r="H126" s="2"/>
    </row>
    <row r="127" spans="1:11">
      <c r="A127" s="2" t="s">
        <v>277</v>
      </c>
      <c r="B127" s="2" t="s">
        <v>280</v>
      </c>
      <c r="C127" s="5">
        <f>CEILING($C$126,50)</f>
        <v>400</v>
      </c>
      <c r="D127" s="7" t="s">
        <v>25</v>
      </c>
      <c r="E127" s="2" t="s">
        <v>281</v>
      </c>
      <c r="F127" s="2"/>
      <c r="G127" s="2"/>
      <c r="H127" s="2"/>
    </row>
    <row r="128" spans="1:11" ht="17.75" customHeight="1">
      <c r="A128" s="19" t="s">
        <v>282</v>
      </c>
      <c r="B128" s="19"/>
      <c r="C128" s="20"/>
      <c r="D128" s="21"/>
      <c r="E128" s="19"/>
      <c r="F128" s="19"/>
      <c r="G128" s="19"/>
      <c r="H128" s="19"/>
    </row>
    <row r="129" spans="1:8">
      <c r="A129" s="2" t="s">
        <v>195</v>
      </c>
      <c r="B129" s="2" t="s">
        <v>283</v>
      </c>
      <c r="C129" s="5">
        <f>0.75*$C$93</f>
        <v>630</v>
      </c>
      <c r="D129" s="7" t="s">
        <v>9</v>
      </c>
      <c r="E129" s="2" t="s">
        <v>284</v>
      </c>
      <c r="F129" s="2"/>
      <c r="G129" s="2"/>
      <c r="H129" s="2"/>
    </row>
    <row r="130" spans="1:8">
      <c r="A130" s="2" t="s">
        <v>195</v>
      </c>
      <c r="B130" s="2" t="s">
        <v>285</v>
      </c>
      <c r="C130" s="5">
        <f>0.45*$C$93</f>
        <v>378</v>
      </c>
      <c r="D130" s="7" t="s">
        <v>9</v>
      </c>
      <c r="E130" s="2" t="s">
        <v>286</v>
      </c>
      <c r="F130" s="2"/>
      <c r="G130" s="2"/>
      <c r="H130" s="2"/>
    </row>
    <row r="131" spans="1:8">
      <c r="A131" s="2" t="s">
        <v>195</v>
      </c>
      <c r="B131" s="2" t="s">
        <v>287</v>
      </c>
      <c r="C131" s="5">
        <f>PI()*$C$90^2/4</f>
        <v>791.73043608984017</v>
      </c>
      <c r="D131" s="7" t="s">
        <v>160</v>
      </c>
      <c r="E131" s="2" t="s">
        <v>288</v>
      </c>
      <c r="F131" s="2"/>
      <c r="G131" s="2"/>
      <c r="H131" s="2"/>
    </row>
    <row r="132" spans="1:8">
      <c r="A132" s="2" t="s">
        <v>289</v>
      </c>
      <c r="B132" s="2" t="s">
        <v>290</v>
      </c>
      <c r="C132" s="5">
        <f>$C$58*1000/($C$96*$C$131)</f>
        <v>76.472637056539739</v>
      </c>
      <c r="D132" s="7" t="s">
        <v>9</v>
      </c>
      <c r="E132" s="2" t="s">
        <v>291</v>
      </c>
      <c r="F132" s="2"/>
      <c r="G132" s="2"/>
      <c r="H132" s="2"/>
    </row>
    <row r="133" spans="1:8">
      <c r="A133" s="2" t="s">
        <v>292</v>
      </c>
      <c r="B133" s="2" t="s">
        <v>293</v>
      </c>
      <c r="C133" s="5">
        <f>MIN(1.3*$C$129-$C$129/(0.75*$C$130)*$C$132,$C$129)</f>
        <v>630</v>
      </c>
      <c r="D133" s="7" t="s">
        <v>9</v>
      </c>
      <c r="E133" s="2" t="s">
        <v>294</v>
      </c>
      <c r="F133" s="2"/>
      <c r="G133" s="2"/>
      <c r="H133" s="2"/>
    </row>
    <row r="134" spans="1:8">
      <c r="A134" s="2" t="s">
        <v>292</v>
      </c>
      <c r="B134" s="2" t="s">
        <v>295</v>
      </c>
      <c r="C134" s="5">
        <f>$C$94*$C$133</f>
        <v>472.5</v>
      </c>
      <c r="D134" s="7" t="s">
        <v>9</v>
      </c>
      <c r="E134" s="2" t="s">
        <v>296</v>
      </c>
      <c r="F134" s="2"/>
      <c r="G134" s="2"/>
      <c r="H134" s="2"/>
    </row>
    <row r="135" spans="1:8">
      <c r="A135" s="2" t="s">
        <v>292</v>
      </c>
      <c r="B135" s="2" t="s">
        <v>297</v>
      </c>
      <c r="C135" s="5">
        <f>($C$87+$C$29)/2</f>
        <v>39.6875</v>
      </c>
      <c r="D135" s="7" t="s">
        <v>25</v>
      </c>
      <c r="E135" s="2" t="s">
        <v>298</v>
      </c>
      <c r="F135" s="2"/>
      <c r="G135" s="2"/>
      <c r="H135" s="2"/>
    </row>
    <row r="136" spans="1:8">
      <c r="A136" s="2" t="s">
        <v>292</v>
      </c>
      <c r="B136" s="2" t="s">
        <v>299</v>
      </c>
      <c r="C136" s="5">
        <f>$C$90^3/6</f>
        <v>5334.330729166667</v>
      </c>
      <c r="D136" s="7" t="s">
        <v>44</v>
      </c>
      <c r="E136" s="2" t="s">
        <v>300</v>
      </c>
      <c r="F136" s="2"/>
      <c r="G136" s="2"/>
      <c r="H136" s="2"/>
    </row>
    <row r="137" spans="1:8">
      <c r="A137" s="2" t="s">
        <v>292</v>
      </c>
      <c r="B137" s="2" t="s">
        <v>301</v>
      </c>
      <c r="C137" s="5">
        <f>$C$80*1000/($C$95*$C$131)</f>
        <v>479.07817900602726</v>
      </c>
      <c r="D137" s="7" t="s">
        <v>9</v>
      </c>
      <c r="E137" s="2" t="s">
        <v>302</v>
      </c>
      <c r="F137" s="2"/>
      <c r="G137" s="2"/>
      <c r="H137" s="2"/>
    </row>
    <row r="138" spans="1:8">
      <c r="A138" s="2" t="s">
        <v>292</v>
      </c>
      <c r="B138" s="2" t="s">
        <v>303</v>
      </c>
      <c r="C138" s="5">
        <f>$C$58*1000*$C$135/$C$96</f>
        <v>2402908.0357142859</v>
      </c>
      <c r="D138" s="7" t="s">
        <v>304</v>
      </c>
      <c r="E138" s="2" t="s">
        <v>305</v>
      </c>
      <c r="F138" s="2"/>
      <c r="G138" s="2"/>
      <c r="H138" s="2"/>
    </row>
    <row r="139" spans="1:8">
      <c r="A139" s="2" t="s">
        <v>292</v>
      </c>
      <c r="B139" s="2" t="s">
        <v>306</v>
      </c>
      <c r="C139" s="5">
        <f>$C$138/$C$136</f>
        <v>450.46101520774471</v>
      </c>
      <c r="D139" s="7" t="s">
        <v>9</v>
      </c>
      <c r="E139" s="2" t="s">
        <v>307</v>
      </c>
      <c r="F139" s="2"/>
      <c r="G139" s="2"/>
      <c r="H139" s="2"/>
    </row>
    <row r="140" spans="1:8">
      <c r="A140" s="2" t="s">
        <v>292</v>
      </c>
      <c r="B140" s="2" t="s">
        <v>308</v>
      </c>
      <c r="C140" s="5">
        <f>$C$137+$C$139</f>
        <v>929.53919421377191</v>
      </c>
      <c r="D140" s="7" t="s">
        <v>9</v>
      </c>
      <c r="E140" s="2" t="s">
        <v>309</v>
      </c>
      <c r="F140" s="2"/>
      <c r="G140" s="2"/>
      <c r="H140" s="2"/>
    </row>
    <row r="141" spans="1:8">
      <c r="A141" s="2" t="s">
        <v>147</v>
      </c>
      <c r="B141" s="2" t="s">
        <v>310</v>
      </c>
      <c r="C141" s="5" t="str">
        <f>IF($C$134&gt;=$C$140,"CUMPLE","NO CUMPLE")</f>
        <v>NO CUMPLE</v>
      </c>
      <c r="D141" s="7"/>
      <c r="E141" s="2" t="s">
        <v>311</v>
      </c>
      <c r="F141" s="2"/>
      <c r="G141" s="2"/>
      <c r="H141" s="2"/>
    </row>
    <row r="142" spans="1:8">
      <c r="A142" s="2" t="s">
        <v>312</v>
      </c>
      <c r="B142" s="2" t="s">
        <v>313</v>
      </c>
      <c r="C142" s="5" t="str">
        <f>IF($C$24="Sí","Sí",IF($C$24="No","No",IF($C$141="CUMPLE","No","Sí")))</f>
        <v>Sí</v>
      </c>
      <c r="D142" s="7"/>
      <c r="E142" s="2" t="s">
        <v>314</v>
      </c>
      <c r="F142" s="2"/>
      <c r="G142" s="2"/>
      <c r="H142" s="2"/>
    </row>
    <row r="143" spans="1:8">
      <c r="A143" s="2" t="s">
        <v>312</v>
      </c>
      <c r="B143" s="2" t="s">
        <v>315</v>
      </c>
      <c r="C143" s="5">
        <f>IF($C$142="Sí",$C$58*1000/($C$11*0.85*$C$10*$C$25),0)</f>
        <v>121.7611147022912</v>
      </c>
      <c r="D143" s="7" t="s">
        <v>25</v>
      </c>
      <c r="E143" s="2" t="s">
        <v>316</v>
      </c>
      <c r="F143" s="2"/>
      <c r="G143" s="2"/>
      <c r="H143" s="2"/>
    </row>
    <row r="144" spans="1:8">
      <c r="A144" s="2" t="s">
        <v>147</v>
      </c>
      <c r="B144" s="2" t="s">
        <v>317</v>
      </c>
      <c r="C144" s="5" t="str">
        <f>IF($C$142="No","N/A",IF($C$26&gt;=$C$143,"CUMPLE","NO CUMPLE"))</f>
        <v>CUMPLE</v>
      </c>
      <c r="D144" s="7"/>
      <c r="E144" s="2" t="s">
        <v>318</v>
      </c>
      <c r="F144" s="2"/>
      <c r="G144" s="2"/>
      <c r="H144" s="2"/>
    </row>
    <row r="145" spans="1:8">
      <c r="A145" s="2" t="s">
        <v>312</v>
      </c>
      <c r="B145" s="2" t="s">
        <v>319</v>
      </c>
      <c r="C145" s="5">
        <f>IF($C$142="Sí",$C$58*1000*($C$19+$C$26/2),0)</f>
        <v>89002200</v>
      </c>
      <c r="D145" s="7" t="s">
        <v>304</v>
      </c>
      <c r="E145" s="2" t="s">
        <v>320</v>
      </c>
      <c r="F145" s="2"/>
      <c r="G145" s="2"/>
      <c r="H145" s="2"/>
    </row>
    <row r="146" spans="1:8">
      <c r="A146" s="2" t="s">
        <v>312</v>
      </c>
      <c r="B146" s="2" t="s">
        <v>321</v>
      </c>
      <c r="C146" s="5">
        <f>IF($C$142="Sí",2*SQRT($C$145/(0.9*$C$25*345)),0)</f>
        <v>50.476973486814963</v>
      </c>
      <c r="D146" s="7" t="s">
        <v>25</v>
      </c>
      <c r="E146" s="2" t="s">
        <v>322</v>
      </c>
      <c r="F146" s="2"/>
      <c r="G146" s="2"/>
      <c r="H146" s="2"/>
    </row>
    <row r="147" spans="1:8" ht="37.5">
      <c r="A147" s="2" t="s">
        <v>147</v>
      </c>
      <c r="B147" s="2" t="s">
        <v>323</v>
      </c>
      <c r="C147" s="5" t="str">
        <f>IF($C$142="No","N/A",IF($C$27&gt;=$C$146,"CUMPLE",IF(ABS($C$27-$C$146)&lt;=2,"CUMPLE - APROX. COMERCIAL","NO CUMPLE")))</f>
        <v>CUMPLE</v>
      </c>
      <c r="D147" s="7"/>
      <c r="E147" s="2" t="s">
        <v>324</v>
      </c>
      <c r="F147" s="2"/>
      <c r="G147" s="2"/>
      <c r="H147" s="2" t="s">
        <v>325</v>
      </c>
    </row>
    <row r="148" spans="1:8">
      <c r="A148" s="2" t="s">
        <v>312</v>
      </c>
      <c r="B148" s="2" t="s">
        <v>326</v>
      </c>
      <c r="C148" s="5">
        <f>IF($C$142="Sí",1*0.6*345*$C$25*$C$27/1000,0)</f>
        <v>4732.0200000000004</v>
      </c>
      <c r="D148" s="7" t="s">
        <v>99</v>
      </c>
      <c r="E148" s="2" t="s">
        <v>327</v>
      </c>
      <c r="F148" s="2"/>
      <c r="G148" s="2"/>
      <c r="H148" s="2"/>
    </row>
    <row r="149" spans="1:8">
      <c r="A149" s="2" t="s">
        <v>147</v>
      </c>
      <c r="B149" s="2" t="s">
        <v>328</v>
      </c>
      <c r="C149" s="5" t="str">
        <f>IF($C$142="No","N/A",IF($C$148&gt;=$C$58,"CUMPLE","NO CUMPLE"))</f>
        <v>CUMPLE</v>
      </c>
      <c r="D149" s="7"/>
      <c r="E149" s="2" t="s">
        <v>329</v>
      </c>
      <c r="F149" s="2"/>
      <c r="G149" s="2"/>
      <c r="H149" s="2"/>
    </row>
    <row r="150" spans="1:8" ht="17.75" customHeight="1">
      <c r="A150" s="19" t="s">
        <v>330</v>
      </c>
      <c r="B150" s="19"/>
      <c r="C150" s="20"/>
      <c r="D150" s="21"/>
      <c r="E150" s="19"/>
      <c r="F150" s="19"/>
      <c r="G150" s="19"/>
      <c r="H150" s="19"/>
    </row>
    <row r="151" spans="1:8">
      <c r="A151" s="2" t="s">
        <v>331</v>
      </c>
      <c r="B151" s="2" t="s">
        <v>332</v>
      </c>
      <c r="C151" s="5">
        <f>$C$34-2*$C$38</f>
        <v>390</v>
      </c>
      <c r="D151" s="7" t="s">
        <v>25</v>
      </c>
      <c r="E151" s="2" t="s">
        <v>333</v>
      </c>
      <c r="F151" s="2"/>
      <c r="G151" s="2"/>
      <c r="H151" s="2"/>
    </row>
    <row r="152" spans="1:8">
      <c r="A152" s="2" t="s">
        <v>331</v>
      </c>
      <c r="B152" s="2" t="s">
        <v>334</v>
      </c>
      <c r="C152" s="5">
        <f>$C$58*1000/(0.318*2*$C$151*$C$20)</f>
        <v>7.0460866803990712</v>
      </c>
      <c r="D152" s="7" t="s">
        <v>25</v>
      </c>
      <c r="E152" s="2" t="s">
        <v>335</v>
      </c>
      <c r="F152" s="2"/>
      <c r="G152" s="2"/>
      <c r="H152" s="2"/>
    </row>
    <row r="153" spans="1:8">
      <c r="A153" s="2" t="s">
        <v>3</v>
      </c>
      <c r="B153" s="13" t="s">
        <v>336</v>
      </c>
      <c r="C153" s="4">
        <v>9.5</v>
      </c>
      <c r="D153" s="7" t="s">
        <v>25</v>
      </c>
      <c r="E153" s="2" t="s">
        <v>337</v>
      </c>
      <c r="F153" s="2"/>
      <c r="G153" s="2"/>
      <c r="H153" s="2" t="s">
        <v>338</v>
      </c>
    </row>
    <row r="154" spans="1:8">
      <c r="A154" s="2" t="s">
        <v>147</v>
      </c>
      <c r="B154" s="2" t="s">
        <v>339</v>
      </c>
      <c r="C154" s="5" t="str">
        <f>IF($C$153&gt;=MAX($C$152,8),"CUMPLE","NO CUMPLE")</f>
        <v>CUMPLE</v>
      </c>
      <c r="D154" s="7"/>
      <c r="E154" s="2" t="s">
        <v>340</v>
      </c>
      <c r="F154" s="2"/>
      <c r="G154" s="2"/>
      <c r="H154" s="2" t="s">
        <v>341</v>
      </c>
    </row>
    <row r="155" spans="1:8">
      <c r="A155" s="2" t="s">
        <v>342</v>
      </c>
      <c r="B155" s="2" t="s">
        <v>343</v>
      </c>
      <c r="C155" s="5">
        <f>VLOOKUP($C$90,CATALOGOS!$A$2:$G$10,5,FALSE)</f>
        <v>34.340000000000003</v>
      </c>
      <c r="D155" s="7" t="s">
        <v>25</v>
      </c>
      <c r="E155" s="2" t="s">
        <v>344</v>
      </c>
      <c r="F155" s="2"/>
      <c r="G155" s="2"/>
      <c r="H155" s="2"/>
    </row>
    <row r="156" spans="1:8">
      <c r="A156" s="2" t="s">
        <v>342</v>
      </c>
      <c r="B156" s="2" t="s">
        <v>345</v>
      </c>
      <c r="C156" s="5">
        <f>$C$58/$C$96</f>
        <v>60.545714285714283</v>
      </c>
      <c r="D156" s="7" t="s">
        <v>99</v>
      </c>
      <c r="E156" s="2" t="s">
        <v>346</v>
      </c>
      <c r="F156" s="2"/>
      <c r="G156" s="2"/>
      <c r="H156" s="2"/>
    </row>
    <row r="157" spans="1:8">
      <c r="A157" s="2" t="s">
        <v>342</v>
      </c>
      <c r="B157" s="2" t="s">
        <v>347</v>
      </c>
      <c r="C157" s="5">
        <f>($C$28-$C$155)/2</f>
        <v>27.83</v>
      </c>
      <c r="D157" s="7" t="s">
        <v>25</v>
      </c>
      <c r="E157" s="2" t="s">
        <v>348</v>
      </c>
      <c r="F157" s="2"/>
      <c r="G157" s="2"/>
      <c r="H157" s="2"/>
    </row>
    <row r="158" spans="1:8">
      <c r="A158" s="2" t="s">
        <v>342</v>
      </c>
      <c r="B158" s="2" t="s">
        <v>349</v>
      </c>
      <c r="C158" s="5">
        <f>0.75*1.5*$C$157*$C$29*$C$9/1000</f>
        <v>222.66782999999995</v>
      </c>
      <c r="D158" s="7" t="s">
        <v>99</v>
      </c>
      <c r="E158" s="2" t="s">
        <v>350</v>
      </c>
      <c r="F158" s="2"/>
      <c r="G158" s="2"/>
      <c r="H158" s="2" t="s">
        <v>351</v>
      </c>
    </row>
    <row r="159" spans="1:8">
      <c r="A159" s="2" t="s">
        <v>147</v>
      </c>
      <c r="B159" s="2" t="s">
        <v>352</v>
      </c>
      <c r="C159" s="5" t="str">
        <f>IF($C$158&gt;=$C$156,"CUMPLE","NO CUMPLE")</f>
        <v>CUMPLE</v>
      </c>
      <c r="D159" s="7"/>
      <c r="E159" s="2" t="s">
        <v>353</v>
      </c>
      <c r="F159" s="2"/>
      <c r="G159" s="2"/>
      <c r="H159" s="2"/>
    </row>
    <row r="160" spans="1:8">
      <c r="A160" s="2" t="s">
        <v>354</v>
      </c>
      <c r="B160" s="2" t="s">
        <v>355</v>
      </c>
      <c r="C160" s="5">
        <f>2*$C$28</f>
        <v>180</v>
      </c>
      <c r="D160" s="7" t="s">
        <v>25</v>
      </c>
      <c r="E160" s="2" t="s">
        <v>356</v>
      </c>
      <c r="F160" s="2"/>
      <c r="G160" s="2"/>
      <c r="H160" s="2"/>
    </row>
    <row r="161" spans="1:8">
      <c r="A161" s="2" t="s">
        <v>354</v>
      </c>
      <c r="B161" s="2" t="s">
        <v>357</v>
      </c>
      <c r="C161" s="5">
        <f>$C$156*1000/(0.318*$C$160*$C$20)</f>
        <v>2.1809315915520933</v>
      </c>
      <c r="D161" s="7" t="s">
        <v>25</v>
      </c>
      <c r="E161" s="2" t="s">
        <v>358</v>
      </c>
      <c r="F161" s="2"/>
      <c r="G161" s="2"/>
      <c r="H161" s="2"/>
    </row>
    <row r="162" spans="1:8">
      <c r="A162" s="2" t="s">
        <v>147</v>
      </c>
      <c r="B162" s="2" t="s">
        <v>359</v>
      </c>
      <c r="C162" s="5" t="str">
        <f>IF($C$30&gt;=MAX($C$161,6.35),"CUMPLE","NO CUMPLE")</f>
        <v>CUMPLE</v>
      </c>
      <c r="D162" s="7"/>
      <c r="E162" s="2" t="s">
        <v>360</v>
      </c>
      <c r="F162" s="2"/>
      <c r="G162" s="2"/>
      <c r="H162" s="2"/>
    </row>
    <row r="163" spans="1:8">
      <c r="A163" s="2" t="s">
        <v>361</v>
      </c>
      <c r="B163" s="2" t="s">
        <v>362</v>
      </c>
      <c r="C163" s="5">
        <f>$C$80/$C$95</f>
        <v>379.30077558556849</v>
      </c>
      <c r="D163" s="7" t="s">
        <v>99</v>
      </c>
      <c r="E163" s="2" t="s">
        <v>363</v>
      </c>
      <c r="F163" s="2"/>
      <c r="G163" s="2"/>
      <c r="H163" s="2"/>
    </row>
    <row r="164" spans="1:8">
      <c r="A164" s="2" t="s">
        <v>361</v>
      </c>
      <c r="B164" s="2" t="s">
        <v>364</v>
      </c>
      <c r="C164" s="5">
        <f>VLOOKUP($C$90,CATALOGOS!$A$2:$G$10,7,FALSE)</f>
        <v>47.63</v>
      </c>
      <c r="D164" s="7" t="s">
        <v>25</v>
      </c>
      <c r="E164" s="2" t="s">
        <v>344</v>
      </c>
      <c r="F164" s="2"/>
      <c r="G164" s="2"/>
      <c r="H164" s="2"/>
    </row>
    <row r="165" spans="1:8">
      <c r="A165" s="2" t="s">
        <v>361</v>
      </c>
      <c r="B165" s="2" t="s">
        <v>365</v>
      </c>
      <c r="C165" s="5">
        <f>$C$31/2-$C$164/2</f>
        <v>21.184999999999999</v>
      </c>
      <c r="D165" s="7" t="s">
        <v>25</v>
      </c>
      <c r="E165" s="2" t="s">
        <v>366</v>
      </c>
      <c r="F165" s="2"/>
      <c r="G165" s="2"/>
      <c r="H165" s="2"/>
    </row>
    <row r="166" spans="1:8">
      <c r="A166" s="2" t="s">
        <v>361</v>
      </c>
      <c r="B166" s="2" t="s">
        <v>367</v>
      </c>
      <c r="C166" s="5">
        <f>PI()*$C$155^2/4</f>
        <v>926.16947445288815</v>
      </c>
      <c r="D166" s="7" t="s">
        <v>160</v>
      </c>
      <c r="E166" s="2" t="s">
        <v>368</v>
      </c>
      <c r="F166" s="2"/>
      <c r="G166" s="2"/>
      <c r="H166" s="2"/>
    </row>
    <row r="167" spans="1:8">
      <c r="A167" s="2" t="s">
        <v>361</v>
      </c>
      <c r="B167" s="2" t="s">
        <v>369</v>
      </c>
      <c r="C167" s="5">
        <f>$C$31-$C$155</f>
        <v>55.66</v>
      </c>
      <c r="D167" s="7" t="s">
        <v>25</v>
      </c>
      <c r="E167" s="2" t="s">
        <v>370</v>
      </c>
      <c r="F167" s="2"/>
      <c r="G167" s="2"/>
      <c r="H167" s="2"/>
    </row>
    <row r="168" spans="1:8">
      <c r="A168" s="2" t="s">
        <v>361</v>
      </c>
      <c r="B168" s="2" t="s">
        <v>371</v>
      </c>
      <c r="C168" s="5">
        <f>$C$163*1000*$C$31/($C$31^2-$C$166)</f>
        <v>4758.55537444519</v>
      </c>
      <c r="D168" s="7" t="s">
        <v>131</v>
      </c>
      <c r="E168" s="2" t="s">
        <v>372</v>
      </c>
      <c r="F168" s="2"/>
      <c r="G168" s="2"/>
      <c r="H168" s="2"/>
    </row>
    <row r="169" spans="1:8">
      <c r="A169" s="2" t="s">
        <v>361</v>
      </c>
      <c r="B169" s="2" t="s">
        <v>373</v>
      </c>
      <c r="C169" s="5">
        <f>$C$168*$C$165^2/2</f>
        <v>1067829.8784737291</v>
      </c>
      <c r="D169" s="7" t="s">
        <v>304</v>
      </c>
      <c r="E169" s="2" t="s">
        <v>374</v>
      </c>
      <c r="F169" s="2"/>
      <c r="G169" s="2"/>
      <c r="H169" s="2"/>
    </row>
    <row r="170" spans="1:8">
      <c r="A170" s="2" t="s">
        <v>361</v>
      </c>
      <c r="B170" s="2" t="s">
        <v>375</v>
      </c>
      <c r="C170" s="5">
        <f>0.9*$C$167*$C$32^2*345/6</f>
        <v>1422777.8500031251</v>
      </c>
      <c r="D170" s="7" t="s">
        <v>304</v>
      </c>
      <c r="E170" s="2" t="s">
        <v>376</v>
      </c>
      <c r="F170" s="2"/>
      <c r="G170" s="2"/>
      <c r="H170" s="2"/>
    </row>
    <row r="171" spans="1:8">
      <c r="A171" s="2" t="s">
        <v>147</v>
      </c>
      <c r="B171" s="2" t="s">
        <v>377</v>
      </c>
      <c r="C171" s="5" t="str">
        <f>IF($C$169&lt;=$C$170,"CUMPLE","NO CUMPLE")</f>
        <v>CUMPLE</v>
      </c>
      <c r="D171" s="7"/>
      <c r="E171" s="2" t="s">
        <v>378</v>
      </c>
      <c r="F171" s="2"/>
      <c r="G171" s="2"/>
      <c r="H171" s="2"/>
    </row>
    <row r="172" spans="1:8">
      <c r="A172" s="2" t="s">
        <v>361</v>
      </c>
      <c r="B172" s="2" t="s">
        <v>379</v>
      </c>
      <c r="C172" s="5">
        <f>$C$168*$C$165</f>
        <v>100809.99560762134</v>
      </c>
      <c r="D172" s="7" t="s">
        <v>380</v>
      </c>
      <c r="E172" s="2" t="s">
        <v>381</v>
      </c>
      <c r="F172" s="2"/>
      <c r="G172" s="2"/>
      <c r="H172" s="2"/>
    </row>
    <row r="173" spans="1:8">
      <c r="A173" s="2" t="s">
        <v>361</v>
      </c>
      <c r="B173" s="2" t="s">
        <v>382</v>
      </c>
      <c r="C173" s="5">
        <f>1*0.6*$C$167*$C$32*345</f>
        <v>256068.00449999995</v>
      </c>
      <c r="D173" s="7" t="s">
        <v>380</v>
      </c>
      <c r="E173" s="2" t="s">
        <v>383</v>
      </c>
      <c r="F173" s="2"/>
      <c r="G173" s="2"/>
      <c r="H173" s="2"/>
    </row>
    <row r="174" spans="1:8">
      <c r="A174" s="2" t="s">
        <v>147</v>
      </c>
      <c r="B174" s="2" t="s">
        <v>384</v>
      </c>
      <c r="C174" s="5" t="str">
        <f>IF($C$172&lt;=$C$173,"CUMPLE","NO CUMPLE")</f>
        <v>CUMPLE</v>
      </c>
      <c r="D174" s="7"/>
      <c r="E174" s="2" t="s">
        <v>385</v>
      </c>
      <c r="F174" s="2"/>
      <c r="G174" s="2"/>
      <c r="H174" s="2"/>
    </row>
    <row r="175" spans="1:8" ht="17.75" customHeight="1">
      <c r="A175" s="19" t="s">
        <v>386</v>
      </c>
      <c r="B175" s="19"/>
      <c r="C175" s="20"/>
      <c r="D175" s="21"/>
      <c r="E175" s="19"/>
      <c r="F175" s="19"/>
      <c r="G175" s="19"/>
      <c r="H175" s="19"/>
    </row>
    <row r="176" spans="1:8">
      <c r="A176" s="2" t="s">
        <v>387</v>
      </c>
      <c r="B176" s="2" t="s">
        <v>388</v>
      </c>
      <c r="C176" s="5" t="str">
        <f>$C$88</f>
        <v>CUMPLE</v>
      </c>
      <c r="D176" s="7"/>
      <c r="E176" s="2" t="s">
        <v>389</v>
      </c>
      <c r="F176" s="2"/>
      <c r="G176" s="2"/>
      <c r="H176" s="2"/>
    </row>
    <row r="177" spans="1:8">
      <c r="A177" s="2" t="s">
        <v>387</v>
      </c>
      <c r="B177" s="2" t="s">
        <v>390</v>
      </c>
      <c r="C177" s="5" t="str">
        <f>$C$100</f>
        <v>CUMPLE</v>
      </c>
      <c r="D177" s="7"/>
      <c r="E177" s="2" t="s">
        <v>391</v>
      </c>
      <c r="F177" s="2"/>
      <c r="G177" s="2"/>
      <c r="H177" s="2"/>
    </row>
    <row r="178" spans="1:8" ht="39">
      <c r="A178" s="2" t="s">
        <v>387</v>
      </c>
      <c r="B178" s="2" t="s">
        <v>392</v>
      </c>
      <c r="C178" s="5" t="str">
        <f>IF(LEFT($C$118,6)="CUMPLE","CUMPLE POR CONCRETO","CUMPLE CON REFUERZO SUPLEMENTARIO")</f>
        <v>CUMPLE CON REFUERZO SUPLEMENTARIO</v>
      </c>
      <c r="D178" s="7"/>
      <c r="E178" s="2" t="s">
        <v>393</v>
      </c>
      <c r="F178" s="2"/>
      <c r="G178" s="2"/>
      <c r="H178" s="2"/>
    </row>
    <row r="179" spans="1:8" ht="26">
      <c r="A179" s="2" t="s">
        <v>387</v>
      </c>
      <c r="B179" s="2" t="s">
        <v>394</v>
      </c>
      <c r="C179" s="5" t="str">
        <f>IF($C$141="CUMPLE","CUMPLE",IF($C$142="Sí","CUMPLE CON LLAVE DE CORTE","NO CUMPLE"))</f>
        <v>CUMPLE CON LLAVE DE CORTE</v>
      </c>
      <c r="D179" s="7"/>
      <c r="E179" s="2" t="s">
        <v>395</v>
      </c>
      <c r="F179" s="2"/>
      <c r="G179" s="2"/>
      <c r="H179" s="2"/>
    </row>
    <row r="180" spans="1:8">
      <c r="A180" s="2" t="s">
        <v>387</v>
      </c>
      <c r="B180" s="2" t="s">
        <v>396</v>
      </c>
      <c r="C180" s="5" t="str">
        <f>IF($C$142="No","NO REQUERIDA",IF(AND(LEFT($C$144,6)="CUMPLE",LEFT($C$147,6)="CUMPLE",LEFT($C$149,6)="CUMPLE"),"CUMPLE","NO CUMPLE"))</f>
        <v>CUMPLE</v>
      </c>
      <c r="D180" s="7"/>
      <c r="E180" s="2" t="s">
        <v>397</v>
      </c>
      <c r="F180" s="2"/>
      <c r="G180" s="2"/>
      <c r="H180" s="2"/>
    </row>
    <row r="181" spans="1:8">
      <c r="A181" s="2" t="s">
        <v>387</v>
      </c>
      <c r="B181" s="2" t="s">
        <v>398</v>
      </c>
      <c r="C181" s="5" t="str">
        <f>$C$154</f>
        <v>CUMPLE</v>
      </c>
      <c r="D181" s="7"/>
      <c r="E181" s="2" t="s">
        <v>399</v>
      </c>
      <c r="F181" s="2"/>
      <c r="G181" s="2"/>
      <c r="H181" s="2"/>
    </row>
    <row r="182" spans="1:8">
      <c r="A182" s="2" t="s">
        <v>387</v>
      </c>
      <c r="B182" s="2" t="s">
        <v>400</v>
      </c>
      <c r="C182" s="5" t="str">
        <f>$C$159</f>
        <v>CUMPLE</v>
      </c>
      <c r="D182" s="7"/>
      <c r="E182" s="2" t="s">
        <v>401</v>
      </c>
      <c r="F182" s="2"/>
      <c r="G182" s="2"/>
      <c r="H182" s="2"/>
    </row>
    <row r="183" spans="1:8">
      <c r="A183" s="2" t="s">
        <v>387</v>
      </c>
      <c r="B183" s="2" t="s">
        <v>402</v>
      </c>
      <c r="C183" s="5" t="str">
        <f>IF(AND($C$171="CUMPLE",$C$174="CUMPLE"),"CUMPLE","NO CUMPLE")</f>
        <v>CUMPLE</v>
      </c>
      <c r="D183" s="7"/>
      <c r="E183" s="2" t="s">
        <v>403</v>
      </c>
      <c r="F183" s="2"/>
      <c r="G183" s="2"/>
      <c r="H183" s="2"/>
    </row>
    <row r="184" spans="1:8" ht="26">
      <c r="A184" s="2" t="s">
        <v>387</v>
      </c>
      <c r="B184" s="2" t="s">
        <v>404</v>
      </c>
      <c r="C184" s="5" t="str">
        <f>IF(AND(LEFT($C$176,6)="CUMPLE",LEFT($C$177,6)="CUMPLE",LEFT($C$178,6)="CUMPLE",LEFT($C$179,6)="CUMPLE",$C$180&lt;&gt;"NO CUMPLE",LEFT($C$181,6)="CUMPLE",LEFT($C$182,6)="CUMPLE",LEFT($C$183,6)="CUMPLE"),"CUMPLE - REVISAR DETALLE FINAL","NO CUMPLE / AJUSTAR VARIABLES")</f>
        <v>CUMPLE - REVISAR DETALLE FINAL</v>
      </c>
      <c r="D184" s="7"/>
      <c r="E184" s="2" t="s">
        <v>405</v>
      </c>
      <c r="F184" s="2"/>
      <c r="G184" s="2"/>
      <c r="H184" s="2"/>
    </row>
  </sheetData>
  <mergeCells count="12">
    <mergeCell ref="A150:H150"/>
    <mergeCell ref="A175:H175"/>
    <mergeCell ref="A46:H46"/>
    <mergeCell ref="A59:H59"/>
    <mergeCell ref="A69:H69"/>
    <mergeCell ref="A89:H89"/>
    <mergeCell ref="A101:H101"/>
    <mergeCell ref="A1:H1"/>
    <mergeCell ref="A2:H2"/>
    <mergeCell ref="A4:H4"/>
    <mergeCell ref="A33:H33"/>
    <mergeCell ref="A128:H128"/>
  </mergeCells>
  <conditionalFormatting sqref="C1:C184">
    <cfRule type="expression" dxfId="3" priority="1">
      <formula>LEFT(C1,9)="NO CUMPLE"</formula>
    </cfRule>
    <cfRule type="expression" dxfId="2" priority="2">
      <formula>OR(ISNUMBER(SEARCH("AUMENTAR",C1)),ISNUMBER(SEARCH("AJUSTAR",C1)))</formula>
    </cfRule>
    <cfRule type="expression" dxfId="1" priority="3">
      <formula>OR(LEFT(C1,6)="CUMPLE",LEFT(C1,12)="NO REQUERIDA")</formula>
    </cfRule>
    <cfRule type="expression" dxfId="0" priority="4">
      <formula>ISNUMBER(SEARCH("REVISAR",C1))</formula>
    </cfRule>
  </conditionalFormatting>
  <dataValidations count="1">
    <dataValidation sqref="C30" xr:uid="{F6E6E482-2CFA-40AD-99BC-04E46663BB1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000-000000000000}">
          <x14:formula1>
            <xm:f>PERFILES!$B$3:$B$125</xm:f>
          </x14:formula1>
          <xm:sqref>C5</xm:sqref>
        </x14:dataValidation>
        <x14:dataValidation type="list" xr:uid="{00000000-0002-0000-0000-000001000000}">
          <x14:formula1>
            <xm:f>CATALOGOS!$Q$2:$Q$3</xm:f>
          </x14:formula1>
          <xm:sqref>C23</xm:sqref>
        </x14:dataValidation>
        <x14:dataValidation type="list" xr:uid="{00000000-0002-0000-0000-000002000000}">
          <x14:formula1>
            <xm:f>CATALOGOS!$S$2:$S$4</xm:f>
          </x14:formula1>
          <xm:sqref>C24</xm:sqref>
        </x14:dataValidation>
        <x14:dataValidation type="list" xr:uid="{00000000-0002-0000-0000-000003000000}">
          <x14:formula1>
            <xm:f>CATALOGOS!$I$2:$I$18</xm:f>
          </x14:formula1>
          <xm:sqref>C87 C32 C29 C27</xm:sqref>
        </x14:dataValidation>
        <x14:dataValidation type="list" xr:uid="{00000000-0002-0000-0000-000007000000}">
          <x14:formula1>
            <xm:f>CATALOGOS!$A$2:$A$10</xm:f>
          </x14:formula1>
          <xm:sqref>C90</xm:sqref>
        </x14:dataValidation>
        <x14:dataValidation type="list" xr:uid="{00000000-0002-0000-0000-000008000000}">
          <x14:formula1>
            <xm:f>CATALOGOS!$M$2:$M$10</xm:f>
          </x14:formula1>
          <xm:sqref>C121</xm:sqref>
        </x14:dataValidation>
        <x14:dataValidation type="list" xr:uid="{00000000-0002-0000-0000-000009000000}">
          <x14:formula1>
            <xm:f>CATALOGOS!$U$2:$U$8</xm:f>
          </x14:formula1>
          <xm:sqref>C28</xm:sqref>
        </x14:dataValidation>
        <x14:dataValidation type="list" xr:uid="{00000000-0002-0000-0000-00000A000000}">
          <x14:formula1>
            <xm:f>CATALOGOS!$W$2:$W$8</xm:f>
          </x14:formula1>
          <xm:sqref>C153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00"/>
  <sheetViews>
    <sheetView topLeftCell="K1" workbookViewId="0">
      <selection activeCell="T37" sqref="T36:T37"/>
    </sheetView>
  </sheetViews>
  <sheetFormatPr baseColWidth="10" defaultColWidth="8.6640625" defaultRowHeight="14"/>
  <cols>
    <col min="1" max="29" width="15" customWidth="1"/>
  </cols>
  <sheetData>
    <row r="1" spans="1:29">
      <c r="A1" s="8" t="s">
        <v>406</v>
      </c>
      <c r="B1" s="8" t="s">
        <v>407</v>
      </c>
      <c r="C1" s="8" t="s">
        <v>408</v>
      </c>
      <c r="D1" s="8" t="s">
        <v>76</v>
      </c>
      <c r="E1" s="8" t="s">
        <v>79</v>
      </c>
      <c r="F1" s="8" t="s">
        <v>78</v>
      </c>
      <c r="G1" s="8" t="s">
        <v>80</v>
      </c>
      <c r="H1" s="8" t="s">
        <v>409</v>
      </c>
      <c r="I1" s="8" t="s">
        <v>410</v>
      </c>
      <c r="J1" s="8" t="s">
        <v>82</v>
      </c>
      <c r="K1" s="8" t="s">
        <v>411</v>
      </c>
      <c r="L1" s="8" t="s">
        <v>412</v>
      </c>
      <c r="M1" s="8" t="s">
        <v>413</v>
      </c>
      <c r="N1" s="8" t="s">
        <v>414</v>
      </c>
      <c r="O1" s="8" t="s">
        <v>415</v>
      </c>
      <c r="P1" s="8" t="s">
        <v>416</v>
      </c>
      <c r="Q1" s="8" t="s">
        <v>417</v>
      </c>
      <c r="R1" s="8" t="s">
        <v>418</v>
      </c>
      <c r="S1" s="8" t="s">
        <v>419</v>
      </c>
      <c r="T1" s="8" t="s">
        <v>420</v>
      </c>
      <c r="U1" s="8" t="s">
        <v>421</v>
      </c>
      <c r="V1" s="8" t="s">
        <v>422</v>
      </c>
      <c r="W1" s="8" t="s">
        <v>423</v>
      </c>
      <c r="X1" s="8" t="s">
        <v>424</v>
      </c>
      <c r="Y1" s="8" t="s">
        <v>425</v>
      </c>
      <c r="Z1" s="8" t="s">
        <v>426</v>
      </c>
      <c r="AA1" s="8" t="s">
        <v>427</v>
      </c>
      <c r="AB1" s="8" t="s">
        <v>428</v>
      </c>
      <c r="AC1" s="8" t="s">
        <v>429</v>
      </c>
    </row>
    <row r="2" spans="1:29">
      <c r="A2" s="1" t="s">
        <v>13</v>
      </c>
      <c r="B2" s="1" t="s">
        <v>13</v>
      </c>
      <c r="C2" s="1" t="s">
        <v>430</v>
      </c>
      <c r="D2" s="1" t="s">
        <v>431</v>
      </c>
      <c r="E2" s="1" t="s">
        <v>431</v>
      </c>
      <c r="F2" s="1" t="s">
        <v>431</v>
      </c>
      <c r="G2" s="1" t="s">
        <v>431</v>
      </c>
      <c r="H2" s="1" t="s">
        <v>431</v>
      </c>
      <c r="I2" s="1" t="s">
        <v>431</v>
      </c>
      <c r="J2" s="1" t="s">
        <v>431</v>
      </c>
      <c r="K2" s="1" t="s">
        <v>431</v>
      </c>
      <c r="L2" s="1" t="s">
        <v>431</v>
      </c>
      <c r="M2" s="1" t="s">
        <v>431</v>
      </c>
      <c r="N2" s="1" t="s">
        <v>430</v>
      </c>
      <c r="O2" s="1" t="s">
        <v>431</v>
      </c>
      <c r="P2" s="1" t="s">
        <v>432</v>
      </c>
      <c r="Q2" s="1" t="s">
        <v>431</v>
      </c>
      <c r="R2" s="1" t="s">
        <v>433</v>
      </c>
      <c r="S2" s="1" t="s">
        <v>433</v>
      </c>
      <c r="T2" s="1" t="s">
        <v>431</v>
      </c>
      <c r="U2" s="1" t="s">
        <v>431</v>
      </c>
      <c r="V2" s="1" t="s">
        <v>434</v>
      </c>
      <c r="W2" s="1" t="s">
        <v>434</v>
      </c>
      <c r="X2" s="1" t="s">
        <v>434</v>
      </c>
      <c r="Y2" s="1" t="s">
        <v>434</v>
      </c>
      <c r="Z2" s="1" t="s">
        <v>433</v>
      </c>
      <c r="AA2" s="1" t="s">
        <v>435</v>
      </c>
      <c r="AB2" s="1" t="s">
        <v>431</v>
      </c>
      <c r="AC2" s="1" t="s">
        <v>436</v>
      </c>
    </row>
    <row r="3" spans="1:29">
      <c r="A3" s="1">
        <v>0</v>
      </c>
      <c r="B3" s="1" t="s">
        <v>5</v>
      </c>
      <c r="C3" s="1"/>
      <c r="D3" s="1">
        <v>509</v>
      </c>
      <c r="E3" s="1">
        <v>22.6</v>
      </c>
      <c r="F3" s="1">
        <v>289</v>
      </c>
      <c r="G3" s="1">
        <v>40.4</v>
      </c>
      <c r="H3" s="1">
        <v>50.55</v>
      </c>
      <c r="I3" s="1">
        <v>50.55</v>
      </c>
      <c r="J3" s="1">
        <v>31.75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>
        <v>6525000</v>
      </c>
      <c r="Y3" s="1"/>
      <c r="Z3" s="1"/>
      <c r="AA3" s="1"/>
      <c r="AB3" s="1"/>
      <c r="AC3" s="1"/>
    </row>
    <row r="4" spans="1:29">
      <c r="A4" s="1">
        <v>1</v>
      </c>
      <c r="B4" s="1" t="s">
        <v>437</v>
      </c>
      <c r="C4" s="1">
        <v>764.34</v>
      </c>
      <c r="D4" s="1">
        <v>80</v>
      </c>
      <c r="E4" s="1">
        <v>3.8</v>
      </c>
      <c r="F4" s="1">
        <v>46</v>
      </c>
      <c r="G4" s="1">
        <v>5.2</v>
      </c>
      <c r="H4" s="1">
        <v>10.199999999999999</v>
      </c>
      <c r="I4" s="1">
        <v>15</v>
      </c>
      <c r="J4" s="1">
        <v>6.9</v>
      </c>
      <c r="K4" s="1">
        <v>50</v>
      </c>
      <c r="L4" s="1">
        <v>16.100000000000001</v>
      </c>
      <c r="M4" s="1">
        <v>4.9999999999999991</v>
      </c>
      <c r="N4" s="1">
        <v>764.34</v>
      </c>
      <c r="O4" s="1">
        <v>74.8</v>
      </c>
      <c r="P4" s="1">
        <v>0.15004142011834318</v>
      </c>
      <c r="Q4" s="1">
        <v>8.3322368421052637</v>
      </c>
      <c r="R4" s="1">
        <v>801376.37110905361</v>
      </c>
      <c r="S4" s="1">
        <v>84890.188670813644</v>
      </c>
      <c r="T4" s="1">
        <v>32.379860432543865</v>
      </c>
      <c r="U4" s="1">
        <v>10.538661503342771</v>
      </c>
      <c r="V4" s="1">
        <v>20034.409277726339</v>
      </c>
      <c r="W4" s="1">
        <v>3690.8777682962454</v>
      </c>
      <c r="X4" s="1">
        <v>23216.952613599999</v>
      </c>
      <c r="Y4" s="1">
        <v>5817.5973864000007</v>
      </c>
      <c r="Z4" s="1">
        <v>6724.3184413344225</v>
      </c>
      <c r="AA4" s="1">
        <v>117996409.57866667</v>
      </c>
      <c r="AB4" s="1">
        <v>12.588566536687726</v>
      </c>
      <c r="AC4" s="1">
        <v>0</v>
      </c>
    </row>
    <row r="5" spans="1:29">
      <c r="A5" s="1">
        <v>2</v>
      </c>
      <c r="B5" s="1" t="s">
        <v>438</v>
      </c>
      <c r="C5" s="1">
        <v>1032.3216</v>
      </c>
      <c r="D5" s="1">
        <v>100</v>
      </c>
      <c r="E5" s="1">
        <v>4.0999999999999996</v>
      </c>
      <c r="F5" s="1">
        <v>55</v>
      </c>
      <c r="G5" s="1">
        <v>5.7</v>
      </c>
      <c r="H5" s="1">
        <v>12.7</v>
      </c>
      <c r="I5" s="1">
        <v>15</v>
      </c>
      <c r="J5" s="1">
        <v>9.0500000000000007</v>
      </c>
      <c r="K5" s="1">
        <v>70</v>
      </c>
      <c r="L5" s="1">
        <v>18.45</v>
      </c>
      <c r="M5" s="1">
        <v>6.9999999999999991</v>
      </c>
      <c r="N5" s="1">
        <v>1032.3216</v>
      </c>
      <c r="O5" s="1">
        <v>94.3</v>
      </c>
      <c r="P5" s="1">
        <v>0.1693427208371806</v>
      </c>
      <c r="Q5" s="1">
        <v>9.8574873096446698</v>
      </c>
      <c r="R5" s="1">
        <v>1710120.2001508698</v>
      </c>
      <c r="S5" s="1">
        <v>159186.38420857413</v>
      </c>
      <c r="T5" s="1">
        <v>40.701068555787806</v>
      </c>
      <c r="U5" s="1">
        <v>12.417822617083459</v>
      </c>
      <c r="V5" s="1">
        <v>34202.404003017393</v>
      </c>
      <c r="W5" s="1">
        <v>5788.595789402696</v>
      </c>
      <c r="X5" s="1">
        <v>39406.821371718397</v>
      </c>
      <c r="Y5" s="1">
        <v>9145.5842882815996</v>
      </c>
      <c r="Z5" s="1">
        <v>11580.399469121108</v>
      </c>
      <c r="AA5" s="1">
        <v>351378405.640625</v>
      </c>
      <c r="AB5" s="1">
        <v>14.813766379417052</v>
      </c>
      <c r="AC5" s="1">
        <v>0</v>
      </c>
    </row>
    <row r="6" spans="1:29">
      <c r="A6" s="1">
        <v>3</v>
      </c>
      <c r="B6" s="1" t="s">
        <v>439</v>
      </c>
      <c r="C6" s="1">
        <v>1321.0216</v>
      </c>
      <c r="D6" s="1">
        <v>120</v>
      </c>
      <c r="E6" s="1">
        <v>4.4000000000000004</v>
      </c>
      <c r="F6" s="1">
        <v>64</v>
      </c>
      <c r="G6" s="1">
        <v>6.3</v>
      </c>
      <c r="H6" s="1">
        <v>13.3</v>
      </c>
      <c r="I6" s="1">
        <v>15</v>
      </c>
      <c r="J6" s="1">
        <v>9.1999999999999993</v>
      </c>
      <c r="K6" s="1">
        <v>90</v>
      </c>
      <c r="L6" s="1">
        <v>22.8</v>
      </c>
      <c r="M6" s="1">
        <v>7.0000000000000009</v>
      </c>
      <c r="N6" s="1">
        <v>1321.0216</v>
      </c>
      <c r="O6" s="1">
        <v>113.7</v>
      </c>
      <c r="P6" s="1">
        <v>0.16027261274880328</v>
      </c>
      <c r="Q6" s="1">
        <v>10.469458128078818</v>
      </c>
      <c r="R6" s="1">
        <v>3177532.4740485093</v>
      </c>
      <c r="S6" s="1">
        <v>276681.40851439198</v>
      </c>
      <c r="T6" s="1">
        <v>49.044469294842116</v>
      </c>
      <c r="U6" s="1">
        <v>14.472215791056719</v>
      </c>
      <c r="V6" s="1">
        <v>52958.874567475155</v>
      </c>
      <c r="W6" s="1">
        <v>8646.2940160747494</v>
      </c>
      <c r="X6" s="1">
        <v>60725.0174117184</v>
      </c>
      <c r="Y6" s="1">
        <v>13580.5180282816</v>
      </c>
      <c r="Z6" s="1">
        <v>16907.74666533534</v>
      </c>
      <c r="AA6" s="1">
        <v>889590546.43200004</v>
      </c>
      <c r="AB6" s="1">
        <v>17.233990523564927</v>
      </c>
      <c r="AC6" s="1">
        <v>0</v>
      </c>
    </row>
    <row r="7" spans="1:29">
      <c r="A7" s="1">
        <v>4</v>
      </c>
      <c r="B7" s="1" t="s">
        <v>440</v>
      </c>
      <c r="C7" s="1">
        <v>1642.6016</v>
      </c>
      <c r="D7" s="1">
        <v>140</v>
      </c>
      <c r="E7" s="1">
        <v>4.7</v>
      </c>
      <c r="F7" s="1">
        <v>73</v>
      </c>
      <c r="G7" s="1">
        <v>6.9</v>
      </c>
      <c r="H7" s="1">
        <v>13.9</v>
      </c>
      <c r="I7" s="1">
        <v>15</v>
      </c>
      <c r="J7" s="1">
        <v>9.35</v>
      </c>
      <c r="K7" s="1">
        <v>110</v>
      </c>
      <c r="L7" s="1">
        <v>27.15</v>
      </c>
      <c r="M7" s="1">
        <v>7</v>
      </c>
      <c r="N7" s="1">
        <v>1642.6016</v>
      </c>
      <c r="O7" s="1">
        <v>133.1</v>
      </c>
      <c r="P7" s="1">
        <v>0.15241346355807603</v>
      </c>
      <c r="Q7" s="1">
        <v>11.082894736842107</v>
      </c>
      <c r="R7" s="1">
        <v>5412238.637898149</v>
      </c>
      <c r="S7" s="1">
        <v>449177.67059220979</v>
      </c>
      <c r="T7" s="1">
        <v>57.401381907133597</v>
      </c>
      <c r="U7" s="1">
        <v>16.536475757506729</v>
      </c>
      <c r="V7" s="1">
        <v>77317.694827116415</v>
      </c>
      <c r="W7" s="1">
        <v>12306.237550471502</v>
      </c>
      <c r="X7" s="1">
        <v>88344.357451718417</v>
      </c>
      <c r="Y7" s="1">
        <v>19246.600768281598</v>
      </c>
      <c r="Z7" s="1">
        <v>24001.93559568073</v>
      </c>
      <c r="AA7" s="1">
        <v>1981356118.4188747</v>
      </c>
      <c r="AB7" s="1">
        <v>19.662722973398882</v>
      </c>
      <c r="AC7" s="1">
        <v>0</v>
      </c>
    </row>
    <row r="8" spans="1:29">
      <c r="A8" s="1">
        <v>5</v>
      </c>
      <c r="B8" s="1" t="s">
        <v>441</v>
      </c>
      <c r="C8" s="1">
        <v>2009.1304000000002</v>
      </c>
      <c r="D8" s="1">
        <v>160</v>
      </c>
      <c r="E8" s="1">
        <v>5</v>
      </c>
      <c r="F8" s="1">
        <v>82</v>
      </c>
      <c r="G8" s="1">
        <v>7.4</v>
      </c>
      <c r="H8" s="1">
        <v>16.399999999999999</v>
      </c>
      <c r="I8" s="1">
        <v>20</v>
      </c>
      <c r="J8" s="1">
        <v>11.5</v>
      </c>
      <c r="K8" s="1">
        <v>120</v>
      </c>
      <c r="L8" s="1">
        <v>29.5</v>
      </c>
      <c r="M8" s="1">
        <v>8.9999999999999982</v>
      </c>
      <c r="N8" s="1">
        <v>2009.1304</v>
      </c>
      <c r="O8" s="1">
        <v>152.6</v>
      </c>
      <c r="P8" s="1">
        <v>0.16787216946676406</v>
      </c>
      <c r="Q8" s="1">
        <v>12.606692913385826</v>
      </c>
      <c r="R8" s="1">
        <v>8692925.1072261576</v>
      </c>
      <c r="S8" s="1">
        <v>683144.31430437451</v>
      </c>
      <c r="T8" s="1">
        <v>65.777733739865226</v>
      </c>
      <c r="U8" s="1">
        <v>18.43962847544417</v>
      </c>
      <c r="V8" s="1">
        <v>108661.56384032697</v>
      </c>
      <c r="W8" s="1">
        <v>16662.056446448158</v>
      </c>
      <c r="X8" s="1">
        <v>123859.6092425152</v>
      </c>
      <c r="Y8" s="1">
        <v>26099.903797484803</v>
      </c>
      <c r="Z8" s="1">
        <v>35423.15167801897</v>
      </c>
      <c r="AA8" s="1">
        <v>3958868738.7013335</v>
      </c>
      <c r="AB8" s="1">
        <v>21.901835992947291</v>
      </c>
      <c r="AC8" s="1">
        <v>-1.1317019315582105E-16</v>
      </c>
    </row>
    <row r="9" spans="1:29">
      <c r="A9" s="1">
        <v>6</v>
      </c>
      <c r="B9" s="1" t="s">
        <v>442</v>
      </c>
      <c r="C9" s="1">
        <v>2394.7303999999999</v>
      </c>
      <c r="D9" s="1">
        <v>180</v>
      </c>
      <c r="E9" s="1">
        <v>5.3</v>
      </c>
      <c r="F9" s="1">
        <v>91</v>
      </c>
      <c r="G9" s="1">
        <v>8</v>
      </c>
      <c r="H9" s="1">
        <v>17</v>
      </c>
      <c r="I9" s="1">
        <v>20</v>
      </c>
      <c r="J9" s="1">
        <v>11.65</v>
      </c>
      <c r="K9" s="1">
        <v>140</v>
      </c>
      <c r="L9" s="1">
        <v>33.85</v>
      </c>
      <c r="M9" s="1">
        <v>9</v>
      </c>
      <c r="N9" s="1">
        <v>2394.7303999999999</v>
      </c>
      <c r="O9" s="1">
        <v>172</v>
      </c>
      <c r="P9" s="1">
        <v>0.16045976562500006</v>
      </c>
      <c r="Q9" s="1">
        <v>13.220096153846153</v>
      </c>
      <c r="R9" s="1">
        <v>13169584.944462776</v>
      </c>
      <c r="S9" s="1">
        <v>1008502.9122109534</v>
      </c>
      <c r="T9" s="1">
        <v>74.157952464056422</v>
      </c>
      <c r="U9" s="1">
        <v>20.521554939070313</v>
      </c>
      <c r="V9" s="1">
        <v>146328.72160514197</v>
      </c>
      <c r="W9" s="1">
        <v>22164.899169471504</v>
      </c>
      <c r="X9" s="1">
        <v>166414.91500251522</v>
      </c>
      <c r="Y9" s="1">
        <v>34599.7233574848</v>
      </c>
      <c r="Z9" s="1">
        <v>47282.071969521312</v>
      </c>
      <c r="AA9" s="1">
        <v>7431214821.333333</v>
      </c>
      <c r="AB9" s="1">
        <v>24.345741966037593</v>
      </c>
      <c r="AC9" s="1">
        <v>0</v>
      </c>
    </row>
    <row r="10" spans="1:29">
      <c r="A10" s="1">
        <v>7</v>
      </c>
      <c r="B10" s="1" t="s">
        <v>443</v>
      </c>
      <c r="C10" s="1">
        <v>2848.4096</v>
      </c>
      <c r="D10" s="1">
        <v>200</v>
      </c>
      <c r="E10" s="1">
        <v>5.6</v>
      </c>
      <c r="F10" s="1">
        <v>100</v>
      </c>
      <c r="G10" s="1">
        <v>8.5</v>
      </c>
      <c r="H10" s="1">
        <v>20.5</v>
      </c>
      <c r="I10" s="1">
        <v>25</v>
      </c>
      <c r="J10" s="1">
        <v>14.8</v>
      </c>
      <c r="K10" s="1">
        <v>150</v>
      </c>
      <c r="L10" s="1">
        <v>35.200000000000003</v>
      </c>
      <c r="M10" s="1">
        <v>12</v>
      </c>
      <c r="N10" s="1">
        <v>2848.4096</v>
      </c>
      <c r="O10" s="1">
        <v>191.5</v>
      </c>
      <c r="P10" s="1">
        <v>0.18301868512110731</v>
      </c>
      <c r="Q10" s="1">
        <v>15.239692307692307</v>
      </c>
      <c r="R10" s="1">
        <v>19431670.407123208</v>
      </c>
      <c r="S10" s="1">
        <v>1423679.5000005641</v>
      </c>
      <c r="T10" s="1">
        <v>82.595017086618384</v>
      </c>
      <c r="U10" s="1">
        <v>22.356555667155394</v>
      </c>
      <c r="V10" s="1">
        <v>194316.70407123209</v>
      </c>
      <c r="W10" s="1">
        <v>28473.590000011282</v>
      </c>
      <c r="X10" s="1">
        <v>220638.5532504064</v>
      </c>
      <c r="Y10" s="1">
        <v>44612.152029593599</v>
      </c>
      <c r="Z10" s="1">
        <v>69205.592680339803</v>
      </c>
      <c r="AA10" s="1">
        <v>12988088541.666666</v>
      </c>
      <c r="AB10" s="1">
        <v>26.486247887112945</v>
      </c>
      <c r="AC10" s="1">
        <v>0</v>
      </c>
    </row>
    <row r="11" spans="1:29">
      <c r="A11" s="1">
        <v>8</v>
      </c>
      <c r="B11" s="1" t="s">
        <v>444</v>
      </c>
      <c r="C11" s="1">
        <v>3337.0495999999994</v>
      </c>
      <c r="D11" s="1">
        <v>220</v>
      </c>
      <c r="E11" s="1">
        <v>5.9</v>
      </c>
      <c r="F11" s="1">
        <v>110</v>
      </c>
      <c r="G11" s="1">
        <v>9.1999999999999993</v>
      </c>
      <c r="H11" s="1">
        <v>21.2</v>
      </c>
      <c r="I11" s="1">
        <v>25</v>
      </c>
      <c r="J11" s="1">
        <v>14.95</v>
      </c>
      <c r="K11" s="1">
        <v>170</v>
      </c>
      <c r="L11" s="1">
        <v>40.049999999999997</v>
      </c>
      <c r="M11" s="1">
        <v>12</v>
      </c>
      <c r="N11" s="1">
        <v>3337.0495999999994</v>
      </c>
      <c r="O11" s="1">
        <v>210.8</v>
      </c>
      <c r="P11" s="1">
        <v>0.17430523393194708</v>
      </c>
      <c r="Q11" s="1">
        <v>15.932003012048192</v>
      </c>
      <c r="R11" s="1">
        <v>27718373.999084767</v>
      </c>
      <c r="S11" s="1">
        <v>2048857.7340254416</v>
      </c>
      <c r="T11" s="1">
        <v>91.13864013579186</v>
      </c>
      <c r="U11" s="1">
        <v>24.778474815786002</v>
      </c>
      <c r="V11" s="1">
        <v>251985.21817349788</v>
      </c>
      <c r="W11" s="1">
        <v>37251.958800462577</v>
      </c>
      <c r="X11" s="1">
        <v>285405.89853040641</v>
      </c>
      <c r="Y11" s="1">
        <v>58110.39746959359</v>
      </c>
      <c r="Z11" s="1">
        <v>90357.035521764425</v>
      </c>
      <c r="AA11" s="1">
        <v>22672314338.666668</v>
      </c>
      <c r="AB11" s="1">
        <v>29.274445292502421</v>
      </c>
      <c r="AC11" s="1">
        <v>0</v>
      </c>
    </row>
    <row r="12" spans="1:29">
      <c r="A12" s="1">
        <v>9</v>
      </c>
      <c r="B12" s="1" t="s">
        <v>445</v>
      </c>
      <c r="C12" s="1">
        <v>3911.62</v>
      </c>
      <c r="D12" s="1">
        <v>240</v>
      </c>
      <c r="E12" s="1">
        <v>6.2</v>
      </c>
      <c r="F12" s="1">
        <v>120</v>
      </c>
      <c r="G12" s="1">
        <v>9.8000000000000007</v>
      </c>
      <c r="H12" s="1">
        <v>24.8</v>
      </c>
      <c r="I12" s="1">
        <v>25</v>
      </c>
      <c r="J12" s="1">
        <v>18.100000000000001</v>
      </c>
      <c r="K12" s="1">
        <v>190</v>
      </c>
      <c r="L12" s="1">
        <v>41.9</v>
      </c>
      <c r="M12" s="1">
        <v>15</v>
      </c>
      <c r="N12" s="1">
        <v>3911.62</v>
      </c>
      <c r="O12" s="1">
        <v>230.2</v>
      </c>
      <c r="P12" s="1">
        <v>0.19256684714702213</v>
      </c>
      <c r="Q12" s="1">
        <v>18.031407035175882</v>
      </c>
      <c r="R12" s="1">
        <v>38916234.318946198</v>
      </c>
      <c r="S12" s="1">
        <v>2836332.4434186784</v>
      </c>
      <c r="T12" s="1">
        <v>99.744067806688406</v>
      </c>
      <c r="U12" s="1">
        <v>26.927760585415061</v>
      </c>
      <c r="V12" s="1">
        <v>324301.95265788498</v>
      </c>
      <c r="W12" s="1">
        <v>47272.207390311305</v>
      </c>
      <c r="X12" s="1">
        <v>366645.15656720003</v>
      </c>
      <c r="Y12" s="1">
        <v>73923.897432799989</v>
      </c>
      <c r="Z12" s="1">
        <v>129643.28486174616</v>
      </c>
      <c r="AA12" s="1">
        <v>37391183424</v>
      </c>
      <c r="AB12" s="1">
        <v>31.727908641848789</v>
      </c>
      <c r="AC12" s="1">
        <v>0</v>
      </c>
    </row>
    <row r="13" spans="1:29">
      <c r="A13" s="1">
        <v>10</v>
      </c>
      <c r="B13" s="1" t="s">
        <v>446</v>
      </c>
      <c r="C13" s="1">
        <v>4594.5</v>
      </c>
      <c r="D13" s="1">
        <v>270</v>
      </c>
      <c r="E13" s="1">
        <v>6.6</v>
      </c>
      <c r="F13" s="1">
        <v>135</v>
      </c>
      <c r="G13" s="1">
        <v>10.199999999999999</v>
      </c>
      <c r="H13" s="1">
        <v>25.2</v>
      </c>
      <c r="I13" s="1">
        <v>30</v>
      </c>
      <c r="J13" s="1">
        <v>18.3</v>
      </c>
      <c r="K13" s="1">
        <v>210</v>
      </c>
      <c r="L13" s="1">
        <v>49.2</v>
      </c>
      <c r="M13" s="1">
        <v>15</v>
      </c>
      <c r="N13" s="1">
        <v>4594.5</v>
      </c>
      <c r="O13" s="1">
        <v>259.8</v>
      </c>
      <c r="P13" s="1">
        <v>0.18768858131487892</v>
      </c>
      <c r="Q13" s="1">
        <v>18.53059701492537</v>
      </c>
      <c r="R13" s="1">
        <v>57897795.836575113</v>
      </c>
      <c r="S13" s="1">
        <v>4198678.6362584652</v>
      </c>
      <c r="T13" s="1">
        <v>112.25660078479726</v>
      </c>
      <c r="U13" s="1">
        <v>30.229933355242697</v>
      </c>
      <c r="V13" s="1">
        <v>428872.56175240822</v>
      </c>
      <c r="W13" s="1">
        <v>62202.646463088371</v>
      </c>
      <c r="X13" s="1">
        <v>483996.61656719999</v>
      </c>
      <c r="Y13" s="1">
        <v>96950.125432800007</v>
      </c>
      <c r="Z13" s="1">
        <v>159143.60747586918</v>
      </c>
      <c r="AA13" s="1">
        <v>70577867001.375</v>
      </c>
      <c r="AB13" s="1">
        <v>35.661266437785294</v>
      </c>
      <c r="AC13" s="1">
        <v>0</v>
      </c>
    </row>
    <row r="14" spans="1:29">
      <c r="A14" s="1">
        <v>11</v>
      </c>
      <c r="B14" s="1" t="s">
        <v>447</v>
      </c>
      <c r="C14" s="1">
        <v>5381.2000000000007</v>
      </c>
      <c r="D14" s="1">
        <v>300</v>
      </c>
      <c r="E14" s="1">
        <v>7.1</v>
      </c>
      <c r="F14" s="1">
        <v>150</v>
      </c>
      <c r="G14" s="1">
        <v>10.7</v>
      </c>
      <c r="H14" s="1">
        <v>25.7</v>
      </c>
      <c r="I14" s="1">
        <v>30</v>
      </c>
      <c r="J14" s="1">
        <v>18.55</v>
      </c>
      <c r="K14" s="1">
        <v>240</v>
      </c>
      <c r="L14" s="1">
        <v>56.45</v>
      </c>
      <c r="M14" s="1">
        <v>15</v>
      </c>
      <c r="N14" s="1">
        <v>5381.2000000000007</v>
      </c>
      <c r="O14" s="1">
        <v>289.3</v>
      </c>
      <c r="P14" s="1">
        <v>0.18225037121145951</v>
      </c>
      <c r="Q14" s="1">
        <v>19.154606879606877</v>
      </c>
      <c r="R14" s="1">
        <v>83561052.124357253</v>
      </c>
      <c r="S14" s="1">
        <v>6037775.0318081984</v>
      </c>
      <c r="T14" s="1">
        <v>124.61272209135193</v>
      </c>
      <c r="U14" s="1">
        <v>33.496458827716623</v>
      </c>
      <c r="V14" s="1">
        <v>557073.68082904839</v>
      </c>
      <c r="W14" s="1">
        <v>80503.667090775984</v>
      </c>
      <c r="X14" s="1">
        <v>628355.66156719998</v>
      </c>
      <c r="Y14" s="1">
        <v>125218.82293279999</v>
      </c>
      <c r="Z14" s="1">
        <v>199304.17116936494</v>
      </c>
      <c r="AA14" s="1">
        <v>125934052921.875</v>
      </c>
      <c r="AB14" s="1">
        <v>39.595092537667263</v>
      </c>
      <c r="AC14" s="1">
        <v>0</v>
      </c>
    </row>
    <row r="15" spans="1:29">
      <c r="A15" s="1">
        <v>12</v>
      </c>
      <c r="B15" s="1" t="s">
        <v>448</v>
      </c>
      <c r="C15" s="1">
        <v>6260.6216000000004</v>
      </c>
      <c r="D15" s="1">
        <v>330</v>
      </c>
      <c r="E15" s="1">
        <v>7.5</v>
      </c>
      <c r="F15" s="1">
        <v>160</v>
      </c>
      <c r="G15" s="1">
        <v>11.5</v>
      </c>
      <c r="H15" s="1">
        <v>29.5</v>
      </c>
      <c r="I15" s="1">
        <v>30</v>
      </c>
      <c r="J15" s="1">
        <v>21.75</v>
      </c>
      <c r="K15" s="1">
        <v>270</v>
      </c>
      <c r="L15" s="1">
        <v>58.25</v>
      </c>
      <c r="M15" s="1">
        <v>18</v>
      </c>
      <c r="N15" s="1">
        <v>6260.6216000000004</v>
      </c>
      <c r="O15" s="1">
        <v>318.5</v>
      </c>
      <c r="P15" s="1">
        <v>0.19521266540642726</v>
      </c>
      <c r="Q15" s="1">
        <v>21.45921052631579</v>
      </c>
      <c r="R15" s="1">
        <v>117668975.17238188</v>
      </c>
      <c r="S15" s="1">
        <v>7881402.6200036313</v>
      </c>
      <c r="T15" s="1">
        <v>137.09520265606429</v>
      </c>
      <c r="U15" s="1">
        <v>35.480769432677349</v>
      </c>
      <c r="V15" s="1">
        <v>713145.30407504167</v>
      </c>
      <c r="W15" s="1">
        <v>98517.532750045386</v>
      </c>
      <c r="X15" s="1">
        <v>804330.31822012155</v>
      </c>
      <c r="Y15" s="1">
        <v>153678.3658798784</v>
      </c>
      <c r="Z15" s="1">
        <v>280845.58754095336</v>
      </c>
      <c r="AA15" s="1">
        <v>199097322666.66666</v>
      </c>
      <c r="AB15" s="1">
        <v>41.951980105974187</v>
      </c>
      <c r="AC15" s="1">
        <v>0</v>
      </c>
    </row>
    <row r="16" spans="1:29">
      <c r="A16" s="1">
        <v>13</v>
      </c>
      <c r="B16" s="1" t="s">
        <v>449</v>
      </c>
      <c r="C16" s="1">
        <v>7272.9216000000006</v>
      </c>
      <c r="D16" s="1">
        <v>360</v>
      </c>
      <c r="E16" s="1">
        <v>8</v>
      </c>
      <c r="F16" s="1">
        <v>170</v>
      </c>
      <c r="G16" s="1">
        <v>12.7</v>
      </c>
      <c r="H16" s="1">
        <v>30.7</v>
      </c>
      <c r="I16" s="1">
        <v>35</v>
      </c>
      <c r="J16" s="1">
        <v>22</v>
      </c>
      <c r="K16" s="1">
        <v>290</v>
      </c>
      <c r="L16" s="1">
        <v>63</v>
      </c>
      <c r="M16" s="1">
        <v>18</v>
      </c>
      <c r="N16" s="1">
        <v>7272.9216000000006</v>
      </c>
      <c r="O16" s="1">
        <v>347.3</v>
      </c>
      <c r="P16" s="1">
        <v>0.1833431706863414</v>
      </c>
      <c r="Q16" s="1">
        <v>22.638398357289528</v>
      </c>
      <c r="R16" s="1">
        <v>162656226.70509458</v>
      </c>
      <c r="S16" s="1">
        <v>10434500.556376904</v>
      </c>
      <c r="T16" s="1">
        <v>149.54809791147798</v>
      </c>
      <c r="U16" s="1">
        <v>37.877506401175623</v>
      </c>
      <c r="V16" s="1">
        <v>903645.70391719206</v>
      </c>
      <c r="W16" s="1">
        <v>122758.8300750224</v>
      </c>
      <c r="X16" s="1">
        <v>1019146.5413001217</v>
      </c>
      <c r="Y16" s="1">
        <v>191099.3087798784</v>
      </c>
      <c r="Z16" s="1">
        <v>374640.42700898007</v>
      </c>
      <c r="AA16" s="1">
        <v>313580327969.95837</v>
      </c>
      <c r="AB16" s="1">
        <v>44.778973424422205</v>
      </c>
      <c r="AC16" s="1">
        <v>0</v>
      </c>
    </row>
    <row r="17" spans="1:29">
      <c r="A17" s="1">
        <v>14</v>
      </c>
      <c r="B17" s="1" t="s">
        <v>450</v>
      </c>
      <c r="C17" s="1">
        <v>8446.3544000000002</v>
      </c>
      <c r="D17" s="1">
        <v>400</v>
      </c>
      <c r="E17" s="1">
        <v>8.6</v>
      </c>
      <c r="F17" s="1">
        <v>180</v>
      </c>
      <c r="G17" s="1">
        <v>13.5</v>
      </c>
      <c r="H17" s="1">
        <v>34.5</v>
      </c>
      <c r="I17" s="1">
        <v>35</v>
      </c>
      <c r="J17" s="1">
        <v>25.3</v>
      </c>
      <c r="K17" s="1">
        <v>330</v>
      </c>
      <c r="L17" s="1">
        <v>64.7</v>
      </c>
      <c r="M17" s="1">
        <v>21</v>
      </c>
      <c r="N17" s="1">
        <v>8446.3544000000002</v>
      </c>
      <c r="O17" s="1">
        <v>386.5</v>
      </c>
      <c r="P17" s="1">
        <v>0.19456515775034294</v>
      </c>
      <c r="Q17" s="1">
        <v>25.033153153153151</v>
      </c>
      <c r="R17" s="1">
        <v>231283548.52681285</v>
      </c>
      <c r="S17" s="1">
        <v>13178204.93039584</v>
      </c>
      <c r="T17" s="1">
        <v>165.47703131986361</v>
      </c>
      <c r="U17" s="1">
        <v>39.499671009110152</v>
      </c>
      <c r="V17" s="1">
        <v>1156417.7426340643</v>
      </c>
      <c r="W17" s="1">
        <v>146424.49922662045</v>
      </c>
      <c r="X17" s="1">
        <v>1307147.049876397</v>
      </c>
      <c r="Y17" s="1">
        <v>229000.24964360319</v>
      </c>
      <c r="Z17" s="1">
        <v>513189.57728201203</v>
      </c>
      <c r="AA17" s="1">
        <v>490048471125</v>
      </c>
      <c r="AB17" s="1">
        <v>46.927833694116309</v>
      </c>
      <c r="AC17" s="1">
        <v>0</v>
      </c>
    </row>
    <row r="18" spans="1:29">
      <c r="A18" s="1">
        <v>15</v>
      </c>
      <c r="B18" s="1" t="s">
        <v>451</v>
      </c>
      <c r="C18" s="1">
        <v>9882.0744000000013</v>
      </c>
      <c r="D18" s="1">
        <v>450</v>
      </c>
      <c r="E18" s="1">
        <v>9.4</v>
      </c>
      <c r="F18" s="1">
        <v>190</v>
      </c>
      <c r="G18" s="1">
        <v>14.6</v>
      </c>
      <c r="H18" s="1">
        <v>35.6</v>
      </c>
      <c r="I18" s="1">
        <v>40</v>
      </c>
      <c r="J18" s="1">
        <v>25.7</v>
      </c>
      <c r="K18" s="1">
        <v>370</v>
      </c>
      <c r="L18" s="1">
        <v>69.3</v>
      </c>
      <c r="M18" s="1">
        <v>21</v>
      </c>
      <c r="N18" s="1">
        <v>9882.0744000000013</v>
      </c>
      <c r="O18" s="1">
        <v>435.4</v>
      </c>
      <c r="P18" s="1">
        <v>0.18510264589979364</v>
      </c>
      <c r="Q18" s="1">
        <v>26.269434628975265</v>
      </c>
      <c r="R18" s="1">
        <v>337429245.69746196</v>
      </c>
      <c r="S18" s="1">
        <v>16758576.687748056</v>
      </c>
      <c r="T18" s="1">
        <v>184.78524960212627</v>
      </c>
      <c r="U18" s="1">
        <v>41.180774084818651</v>
      </c>
      <c r="V18" s="1">
        <v>1499685.5364331643</v>
      </c>
      <c r="W18" s="1">
        <v>176406.07039734797</v>
      </c>
      <c r="X18" s="1">
        <v>1701792.4540363969</v>
      </c>
      <c r="Y18" s="1">
        <v>276380.37340360321</v>
      </c>
      <c r="Z18" s="1">
        <v>667920.76974344056</v>
      </c>
      <c r="AA18" s="1">
        <v>791005068534.33313</v>
      </c>
      <c r="AB18" s="1">
        <v>49.322794949349486</v>
      </c>
      <c r="AC18" s="1">
        <v>0</v>
      </c>
    </row>
    <row r="19" spans="1:29">
      <c r="A19" s="1">
        <v>16</v>
      </c>
      <c r="B19" s="1" t="s">
        <v>452</v>
      </c>
      <c r="C19" s="1">
        <v>11552.154399999999</v>
      </c>
      <c r="D19" s="1">
        <v>500</v>
      </c>
      <c r="E19" s="1">
        <v>10.199999999999999</v>
      </c>
      <c r="F19" s="1">
        <v>200</v>
      </c>
      <c r="G19" s="1">
        <v>16</v>
      </c>
      <c r="H19" s="1">
        <v>37</v>
      </c>
      <c r="I19" s="1">
        <v>40</v>
      </c>
      <c r="J19" s="1">
        <v>26.1</v>
      </c>
      <c r="K19" s="1">
        <v>420</v>
      </c>
      <c r="L19" s="1">
        <v>73.900000000000006</v>
      </c>
      <c r="M19" s="1">
        <v>21</v>
      </c>
      <c r="N19" s="1">
        <v>11552.154399999999</v>
      </c>
      <c r="O19" s="1">
        <v>484</v>
      </c>
      <c r="P19" s="1">
        <v>0.17490937500000001</v>
      </c>
      <c r="Q19" s="1">
        <v>27.745000000000001</v>
      </c>
      <c r="R19" s="1">
        <v>481985143.39673722</v>
      </c>
      <c r="S19" s="1">
        <v>21416842.47730827</v>
      </c>
      <c r="T19" s="1">
        <v>204.26094345024995</v>
      </c>
      <c r="U19" s="1">
        <v>43.057244065801044</v>
      </c>
      <c r="V19" s="1">
        <v>1927940.5735869489</v>
      </c>
      <c r="W19" s="1">
        <v>214168.42477308269</v>
      </c>
      <c r="X19" s="1">
        <v>2194117.2338763969</v>
      </c>
      <c r="Y19" s="1">
        <v>335879.00316360319</v>
      </c>
      <c r="Z19" s="1">
        <v>891448.40285484167</v>
      </c>
      <c r="AA19" s="1">
        <v>1249365333333.3333</v>
      </c>
      <c r="AB19" s="1">
        <v>51.848784858970568</v>
      </c>
      <c r="AC19" s="1">
        <v>0</v>
      </c>
    </row>
    <row r="20" spans="1:29">
      <c r="A20" s="1">
        <v>17</v>
      </c>
      <c r="B20" s="1" t="s">
        <v>453</v>
      </c>
      <c r="C20" s="1">
        <v>13441.598399999999</v>
      </c>
      <c r="D20" s="1">
        <v>550</v>
      </c>
      <c r="E20" s="1">
        <v>11.1</v>
      </c>
      <c r="F20" s="1">
        <v>210</v>
      </c>
      <c r="G20" s="1">
        <v>17.2</v>
      </c>
      <c r="H20" s="1">
        <v>41.2</v>
      </c>
      <c r="I20" s="1">
        <v>45</v>
      </c>
      <c r="J20" s="1">
        <v>29.55</v>
      </c>
      <c r="K20" s="1">
        <v>460</v>
      </c>
      <c r="L20" s="1">
        <v>75.45</v>
      </c>
      <c r="M20" s="1">
        <v>24.000000000000004</v>
      </c>
      <c r="N20" s="1">
        <v>13441.598400000001</v>
      </c>
      <c r="O20" s="1">
        <v>532.79999999999995</v>
      </c>
      <c r="P20" s="1">
        <v>0.18165763588426179</v>
      </c>
      <c r="Q20" s="1">
        <v>30.592676380368104</v>
      </c>
      <c r="R20" s="1">
        <v>671164840.52772701</v>
      </c>
      <c r="S20" s="1">
        <v>26675776.865114681</v>
      </c>
      <c r="T20" s="1">
        <v>223.45451847340556</v>
      </c>
      <c r="U20" s="1">
        <v>44.548499462278322</v>
      </c>
      <c r="V20" s="1">
        <v>2440599.4201008254</v>
      </c>
      <c r="W20" s="1">
        <v>254055.01776299695</v>
      </c>
      <c r="X20" s="1">
        <v>2787004.5423232513</v>
      </c>
      <c r="Y20" s="1">
        <v>400536.50331674877</v>
      </c>
      <c r="Z20" s="1">
        <v>1228913.0576002479</v>
      </c>
      <c r="AA20" s="1">
        <v>1884098143871.9998</v>
      </c>
      <c r="AB20" s="1">
        <v>53.960677822290428</v>
      </c>
      <c r="AC20" s="1">
        <v>1.353253794240614E-16</v>
      </c>
    </row>
    <row r="21" spans="1:29">
      <c r="A21" s="1">
        <v>18</v>
      </c>
      <c r="B21" s="1" t="s">
        <v>454</v>
      </c>
      <c r="C21" s="1">
        <v>15598.438399999999</v>
      </c>
      <c r="D21" s="1">
        <v>600</v>
      </c>
      <c r="E21" s="1">
        <v>12</v>
      </c>
      <c r="F21" s="1">
        <v>220</v>
      </c>
      <c r="G21" s="1">
        <v>19</v>
      </c>
      <c r="H21" s="1">
        <v>43</v>
      </c>
      <c r="I21" s="1">
        <v>45</v>
      </c>
      <c r="J21" s="1">
        <v>30</v>
      </c>
      <c r="K21" s="1">
        <v>510</v>
      </c>
      <c r="L21" s="1">
        <v>80</v>
      </c>
      <c r="M21" s="1">
        <v>24</v>
      </c>
      <c r="N21" s="1">
        <v>15598.438399999999</v>
      </c>
      <c r="O21" s="1">
        <v>581</v>
      </c>
      <c r="P21" s="1">
        <v>0.17080886426592798</v>
      </c>
      <c r="Q21" s="1">
        <v>32.432835820895519</v>
      </c>
      <c r="R21" s="1">
        <v>920834190.00420856</v>
      </c>
      <c r="S21" s="1">
        <v>33873364.371142417</v>
      </c>
      <c r="T21" s="1">
        <v>242.96860316002233</v>
      </c>
      <c r="U21" s="1">
        <v>46.600288544029077</v>
      </c>
      <c r="V21" s="1">
        <v>3069447.3000140283</v>
      </c>
      <c r="W21" s="1">
        <v>307939.6761012947</v>
      </c>
      <c r="X21" s="1">
        <v>3512398.5892032511</v>
      </c>
      <c r="Y21" s="1">
        <v>485649.23159674881</v>
      </c>
      <c r="Z21" s="1">
        <v>1652953.6593101406</v>
      </c>
      <c r="AA21" s="1">
        <v>2845526709666.6665</v>
      </c>
      <c r="AB21" s="1">
        <v>56.62029719602625</v>
      </c>
      <c r="AC21" s="1">
        <v>0</v>
      </c>
    </row>
    <row r="22" spans="1:29">
      <c r="A22" s="1">
        <v>19</v>
      </c>
      <c r="B22" s="1" t="s">
        <v>455</v>
      </c>
      <c r="C22" s="1">
        <v>17458.577600000001</v>
      </c>
      <c r="D22" s="1">
        <v>753</v>
      </c>
      <c r="E22" s="1">
        <v>11.5</v>
      </c>
      <c r="F22" s="1">
        <v>263</v>
      </c>
      <c r="G22" s="1">
        <v>17</v>
      </c>
      <c r="H22" s="1">
        <v>34</v>
      </c>
      <c r="I22" s="1">
        <v>35</v>
      </c>
      <c r="J22" s="1">
        <v>22.75</v>
      </c>
      <c r="K22" s="1">
        <v>683</v>
      </c>
      <c r="L22" s="1">
        <v>108.75</v>
      </c>
      <c r="M22" s="1">
        <v>17</v>
      </c>
      <c r="N22" s="1">
        <v>17458.577600000001</v>
      </c>
      <c r="O22" s="1">
        <v>736</v>
      </c>
      <c r="P22" s="1">
        <v>0.15113192041522489</v>
      </c>
      <c r="Q22" s="1">
        <v>27.14828431372549</v>
      </c>
      <c r="R22" s="1">
        <v>1598774815.7731438</v>
      </c>
      <c r="S22" s="1">
        <v>51658676.854418993</v>
      </c>
      <c r="T22" s="1">
        <v>302.61414236364283</v>
      </c>
      <c r="U22" s="1">
        <v>54.396030716608841</v>
      </c>
      <c r="V22" s="1">
        <v>4246413.8533151224</v>
      </c>
      <c r="W22" s="1">
        <v>392841.64908303419</v>
      </c>
      <c r="X22" s="1">
        <v>4865160.7580449348</v>
      </c>
      <c r="Y22" s="1">
        <v>614076.89785506565</v>
      </c>
      <c r="Z22" s="1">
        <v>1355030.3093315065</v>
      </c>
      <c r="AA22" s="1">
        <v>6980082469162.667</v>
      </c>
      <c r="AB22" s="1">
        <v>66.908976948153779</v>
      </c>
      <c r="AC22" s="1">
        <v>0</v>
      </c>
    </row>
    <row r="23" spans="1:29">
      <c r="A23" s="1">
        <v>20</v>
      </c>
      <c r="B23" s="1" t="s">
        <v>456</v>
      </c>
      <c r="C23" s="1">
        <v>18748.8776</v>
      </c>
      <c r="D23" s="1">
        <v>753</v>
      </c>
      <c r="E23" s="1">
        <v>13.2</v>
      </c>
      <c r="F23" s="1">
        <v>265</v>
      </c>
      <c r="G23" s="1">
        <v>17</v>
      </c>
      <c r="H23" s="1">
        <v>34</v>
      </c>
      <c r="I23" s="1">
        <v>35</v>
      </c>
      <c r="J23" s="1">
        <v>23.6</v>
      </c>
      <c r="K23" s="1">
        <v>683</v>
      </c>
      <c r="L23" s="1">
        <v>108.9</v>
      </c>
      <c r="M23" s="1">
        <v>17</v>
      </c>
      <c r="N23" s="1">
        <v>18748.8776</v>
      </c>
      <c r="O23" s="1">
        <v>736</v>
      </c>
      <c r="P23" s="1">
        <v>0.15394809688581315</v>
      </c>
      <c r="Q23" s="1">
        <v>27.920784313725491</v>
      </c>
      <c r="R23" s="1">
        <v>1660642071.2981436</v>
      </c>
      <c r="S23" s="1">
        <v>52894400.795338616</v>
      </c>
      <c r="T23" s="1">
        <v>297.61196082575157</v>
      </c>
      <c r="U23" s="1">
        <v>53.115003436818434</v>
      </c>
      <c r="V23" s="1">
        <v>4410735.91314248</v>
      </c>
      <c r="W23" s="1">
        <v>399203.02487048012</v>
      </c>
      <c r="X23" s="1">
        <v>5109893.1830449346</v>
      </c>
      <c r="Y23" s="1">
        <v>630811.46631506563</v>
      </c>
      <c r="Z23" s="1">
        <v>1571227.8362106232</v>
      </c>
      <c r="AA23" s="1">
        <v>7140537925333.333</v>
      </c>
      <c r="AB23" s="1">
        <v>66.431373578438809</v>
      </c>
      <c r="AC23" s="1">
        <v>0</v>
      </c>
    </row>
    <row r="24" spans="1:29">
      <c r="A24" s="1">
        <v>21</v>
      </c>
      <c r="B24" s="1" t="s">
        <v>457</v>
      </c>
      <c r="C24" s="1">
        <v>2123.6095999999998</v>
      </c>
      <c r="D24" s="1">
        <v>96</v>
      </c>
      <c r="E24" s="1">
        <v>5</v>
      </c>
      <c r="F24" s="1">
        <v>100</v>
      </c>
      <c r="G24" s="1">
        <v>8</v>
      </c>
      <c r="H24" s="1">
        <v>20</v>
      </c>
      <c r="I24" s="1">
        <v>20</v>
      </c>
      <c r="J24" s="1">
        <v>14.5</v>
      </c>
      <c r="K24" s="1">
        <v>56</v>
      </c>
      <c r="L24" s="1">
        <v>35.5</v>
      </c>
      <c r="M24" s="1">
        <v>12</v>
      </c>
      <c r="N24" s="1">
        <v>2123.6095999999998</v>
      </c>
      <c r="O24" s="1">
        <v>88</v>
      </c>
      <c r="P24" s="1">
        <v>0.1900859375</v>
      </c>
      <c r="Q24" s="1">
        <v>14.5703125</v>
      </c>
      <c r="R24" s="1">
        <v>3492246.1839313516</v>
      </c>
      <c r="S24" s="1">
        <v>1338106.0216468077</v>
      </c>
      <c r="T24" s="1">
        <v>40.552262153296802</v>
      </c>
      <c r="U24" s="1">
        <v>25.101976725798789</v>
      </c>
      <c r="V24" s="1">
        <v>72755.128831903159</v>
      </c>
      <c r="W24" s="1">
        <v>26762.120432936154</v>
      </c>
      <c r="X24" s="1">
        <v>83013.058850406407</v>
      </c>
      <c r="Y24" s="1">
        <v>41140.349149593603</v>
      </c>
      <c r="Z24" s="1">
        <v>52880.216007068797</v>
      </c>
      <c r="AA24" s="1">
        <v>2581333333.3333335</v>
      </c>
      <c r="AB24" s="1">
        <v>28.447217530441531</v>
      </c>
      <c r="AC24" s="1">
        <v>0</v>
      </c>
    </row>
    <row r="25" spans="1:29">
      <c r="A25" s="1">
        <v>22</v>
      </c>
      <c r="B25" s="1" t="s">
        <v>458</v>
      </c>
      <c r="C25" s="1">
        <v>2603.6095999999998</v>
      </c>
      <c r="D25" s="1">
        <v>100</v>
      </c>
      <c r="E25" s="1">
        <v>6</v>
      </c>
      <c r="F25" s="1">
        <v>100</v>
      </c>
      <c r="G25" s="1">
        <v>10</v>
      </c>
      <c r="H25" s="1">
        <v>22</v>
      </c>
      <c r="I25" s="1">
        <v>25</v>
      </c>
      <c r="J25" s="1">
        <v>15</v>
      </c>
      <c r="K25" s="1">
        <v>50</v>
      </c>
      <c r="L25" s="1">
        <v>35</v>
      </c>
      <c r="M25" s="1">
        <v>12</v>
      </c>
      <c r="N25" s="1">
        <v>2603.6095999999998</v>
      </c>
      <c r="O25" s="1">
        <v>90</v>
      </c>
      <c r="P25" s="1">
        <v>0.16481999999999997</v>
      </c>
      <c r="Q25" s="1">
        <v>16.617647058823529</v>
      </c>
      <c r="R25" s="1">
        <v>4495446.1839313526</v>
      </c>
      <c r="S25" s="1">
        <v>1672717.2731964015</v>
      </c>
      <c r="T25" s="1">
        <v>41.552625455867641</v>
      </c>
      <c r="U25" s="1">
        <v>25.346811713185954</v>
      </c>
      <c r="V25" s="1">
        <v>89908.923678627049</v>
      </c>
      <c r="W25" s="1">
        <v>33454.345463928032</v>
      </c>
      <c r="X25" s="1">
        <v>104213.05885040641</v>
      </c>
      <c r="Y25" s="1">
        <v>51422.153949593601</v>
      </c>
      <c r="Z25" s="1">
        <v>93363.931957749883</v>
      </c>
      <c r="AA25" s="1">
        <v>3375000000</v>
      </c>
      <c r="AB25" s="1">
        <v>28.93450975398607</v>
      </c>
      <c r="AC25" s="1">
        <v>0</v>
      </c>
    </row>
    <row r="26" spans="1:29">
      <c r="A26" s="1">
        <v>23</v>
      </c>
      <c r="B26" s="1" t="s">
        <v>459</v>
      </c>
      <c r="C26" s="1">
        <v>2533.6095999999998</v>
      </c>
      <c r="D26" s="1">
        <v>114</v>
      </c>
      <c r="E26" s="1">
        <v>5</v>
      </c>
      <c r="F26" s="1">
        <v>120</v>
      </c>
      <c r="G26" s="1">
        <v>8</v>
      </c>
      <c r="H26" s="1">
        <v>20</v>
      </c>
      <c r="I26" s="1">
        <v>20</v>
      </c>
      <c r="J26" s="1">
        <v>14.5</v>
      </c>
      <c r="K26" s="1">
        <v>74</v>
      </c>
      <c r="L26" s="1">
        <v>45.5</v>
      </c>
      <c r="M26" s="1">
        <v>12</v>
      </c>
      <c r="N26" s="1">
        <v>2533.6095999999998</v>
      </c>
      <c r="O26" s="1">
        <v>106</v>
      </c>
      <c r="P26" s="1">
        <v>0.1900859375</v>
      </c>
      <c r="Q26" s="1">
        <v>14.5703125</v>
      </c>
      <c r="R26" s="1">
        <v>6061510.2875053333</v>
      </c>
      <c r="S26" s="1">
        <v>2308960.1883134744</v>
      </c>
      <c r="T26" s="1">
        <v>48.912580460889799</v>
      </c>
      <c r="U26" s="1">
        <v>30.188280343526319</v>
      </c>
      <c r="V26" s="1">
        <v>106342.2857457076</v>
      </c>
      <c r="W26" s="1">
        <v>38482.66980522457</v>
      </c>
      <c r="X26" s="1">
        <v>119490.5452504064</v>
      </c>
      <c r="Y26" s="1">
        <v>58852.849149593603</v>
      </c>
      <c r="Z26" s="1">
        <v>60456.882673735461</v>
      </c>
      <c r="AA26" s="1">
        <v>6471936000</v>
      </c>
      <c r="AB26" s="1">
        <v>33.922914809969313</v>
      </c>
      <c r="AC26" s="1">
        <v>0</v>
      </c>
    </row>
    <row r="27" spans="1:29">
      <c r="A27" s="1">
        <v>24</v>
      </c>
      <c r="B27" s="1" t="s">
        <v>460</v>
      </c>
      <c r="C27" s="1">
        <v>3400.6095999999998</v>
      </c>
      <c r="D27" s="1">
        <v>120</v>
      </c>
      <c r="E27" s="1">
        <v>6.5</v>
      </c>
      <c r="F27" s="1">
        <v>120</v>
      </c>
      <c r="G27" s="1">
        <v>11</v>
      </c>
      <c r="H27" s="1">
        <v>23</v>
      </c>
      <c r="I27" s="1">
        <v>25</v>
      </c>
      <c r="J27" s="1">
        <v>15.25</v>
      </c>
      <c r="K27" s="1">
        <v>70</v>
      </c>
      <c r="L27" s="1">
        <v>44.75</v>
      </c>
      <c r="M27" s="1">
        <v>12</v>
      </c>
      <c r="N27" s="1">
        <v>3400.6095999999998</v>
      </c>
      <c r="O27" s="1">
        <v>109</v>
      </c>
      <c r="P27" s="1">
        <v>0.15528822314049587</v>
      </c>
      <c r="Q27" s="1">
        <v>17.644642857142856</v>
      </c>
      <c r="R27" s="1">
        <v>8643719.2875053342</v>
      </c>
      <c r="S27" s="1">
        <v>3175212.1799378651</v>
      </c>
      <c r="T27" s="1">
        <v>50.416412469193162</v>
      </c>
      <c r="U27" s="1">
        <v>30.556808161795391</v>
      </c>
      <c r="V27" s="1">
        <v>144061.98812508892</v>
      </c>
      <c r="W27" s="1">
        <v>52920.202998964422</v>
      </c>
      <c r="X27" s="1">
        <v>165212.0452504064</v>
      </c>
      <c r="Y27" s="1">
        <v>80968.181349593593</v>
      </c>
      <c r="Z27" s="1">
        <v>139405.57221345289</v>
      </c>
      <c r="AA27" s="1">
        <v>9409752000</v>
      </c>
      <c r="AB27" s="1">
        <v>34.658512952834549</v>
      </c>
      <c r="AC27" s="1">
        <v>0</v>
      </c>
    </row>
    <row r="28" spans="1:29">
      <c r="A28" s="1">
        <v>25</v>
      </c>
      <c r="B28" s="1" t="s">
        <v>461</v>
      </c>
      <c r="C28" s="1">
        <v>3141.6095999999998</v>
      </c>
      <c r="D28" s="1">
        <v>133</v>
      </c>
      <c r="E28" s="1">
        <v>5.5</v>
      </c>
      <c r="F28" s="1">
        <v>140</v>
      </c>
      <c r="G28" s="1">
        <v>8.5</v>
      </c>
      <c r="H28" s="1">
        <v>20.5</v>
      </c>
      <c r="I28" s="1">
        <v>25</v>
      </c>
      <c r="J28" s="1">
        <v>14.75</v>
      </c>
      <c r="K28" s="1">
        <v>83</v>
      </c>
      <c r="L28" s="1">
        <v>55.25</v>
      </c>
      <c r="M28" s="1">
        <v>12</v>
      </c>
      <c r="N28" s="1">
        <v>3141.6095999999998</v>
      </c>
      <c r="O28" s="1">
        <v>124.5</v>
      </c>
      <c r="P28" s="1">
        <v>0.18298096885813153</v>
      </c>
      <c r="Q28" s="1">
        <v>15.194230769230769</v>
      </c>
      <c r="R28" s="1">
        <v>10331288.146279316</v>
      </c>
      <c r="S28" s="1">
        <v>3893208.880154938</v>
      </c>
      <c r="T28" s="1">
        <v>57.345735804282761</v>
      </c>
      <c r="U28" s="1">
        <v>35.202843504610968</v>
      </c>
      <c r="V28" s="1">
        <v>155357.71648540325</v>
      </c>
      <c r="W28" s="1">
        <v>55617.269716499111</v>
      </c>
      <c r="X28" s="1">
        <v>173495.0316504064</v>
      </c>
      <c r="Y28" s="1">
        <v>84848.501549593595</v>
      </c>
      <c r="Z28" s="1">
        <v>81064.290965694177</v>
      </c>
      <c r="AA28" s="1">
        <v>15063659625</v>
      </c>
      <c r="AB28" s="1">
        <v>39.496363931658365</v>
      </c>
      <c r="AC28" s="1">
        <v>0</v>
      </c>
    </row>
    <row r="29" spans="1:29">
      <c r="A29" s="1">
        <v>26</v>
      </c>
      <c r="B29" s="1" t="s">
        <v>462</v>
      </c>
      <c r="C29" s="1">
        <v>4295.6095999999998</v>
      </c>
      <c r="D29" s="1">
        <v>140</v>
      </c>
      <c r="E29" s="1">
        <v>7</v>
      </c>
      <c r="F29" s="1">
        <v>140</v>
      </c>
      <c r="G29" s="1">
        <v>12</v>
      </c>
      <c r="H29" s="1">
        <v>24</v>
      </c>
      <c r="I29" s="1">
        <v>25</v>
      </c>
      <c r="J29" s="1">
        <v>15.5</v>
      </c>
      <c r="K29" s="1">
        <v>90</v>
      </c>
      <c r="L29" s="1">
        <v>54.5</v>
      </c>
      <c r="M29" s="1">
        <v>12</v>
      </c>
      <c r="N29" s="1">
        <v>4295.6095999999998</v>
      </c>
      <c r="O29" s="1">
        <v>128</v>
      </c>
      <c r="P29" s="1">
        <v>0.14720486111111111</v>
      </c>
      <c r="Q29" s="1">
        <v>18.673611111111111</v>
      </c>
      <c r="R29" s="1">
        <v>15092301.812945982</v>
      </c>
      <c r="S29" s="1">
        <v>5496659.3295459952</v>
      </c>
      <c r="T29" s="1">
        <v>59.274150516629113</v>
      </c>
      <c r="U29" s="1">
        <v>35.77148820009004</v>
      </c>
      <c r="V29" s="1">
        <v>215604.31161351403</v>
      </c>
      <c r="W29" s="1">
        <v>78523.70470779993</v>
      </c>
      <c r="X29" s="1">
        <v>245426.0316504064</v>
      </c>
      <c r="Y29" s="1">
        <v>119784.9587495936</v>
      </c>
      <c r="Z29" s="1">
        <v>201632.09269933507</v>
      </c>
      <c r="AA29" s="1">
        <v>22478848000</v>
      </c>
      <c r="AB29" s="1">
        <v>40.393424797548967</v>
      </c>
      <c r="AC29" s="1">
        <v>0</v>
      </c>
    </row>
    <row r="30" spans="1:29">
      <c r="A30" s="1">
        <v>27</v>
      </c>
      <c r="B30" s="1" t="s">
        <v>463</v>
      </c>
      <c r="C30" s="1">
        <v>3877.14</v>
      </c>
      <c r="D30" s="1">
        <v>152</v>
      </c>
      <c r="E30" s="1">
        <v>6</v>
      </c>
      <c r="F30" s="1">
        <v>160</v>
      </c>
      <c r="G30" s="1">
        <v>9</v>
      </c>
      <c r="H30" s="1">
        <v>24</v>
      </c>
      <c r="I30" s="1">
        <v>25</v>
      </c>
      <c r="J30" s="1">
        <v>18</v>
      </c>
      <c r="K30" s="1">
        <v>102</v>
      </c>
      <c r="L30" s="1">
        <v>62</v>
      </c>
      <c r="M30" s="1">
        <v>15</v>
      </c>
      <c r="N30" s="1">
        <v>3877.14</v>
      </c>
      <c r="O30" s="1">
        <v>143</v>
      </c>
      <c r="P30" s="1">
        <v>0.20300000000000007</v>
      </c>
      <c r="Q30" s="1">
        <v>17.307692307692307</v>
      </c>
      <c r="R30" s="1">
        <v>16729750.392606786</v>
      </c>
      <c r="S30" s="1">
        <v>6155719.9131987849</v>
      </c>
      <c r="T30" s="1">
        <v>65.688446183201819</v>
      </c>
      <c r="U30" s="1">
        <v>39.84590396603862</v>
      </c>
      <c r="V30" s="1">
        <v>220128.29463956296</v>
      </c>
      <c r="W30" s="1">
        <v>76946.498914984812</v>
      </c>
      <c r="X30" s="1">
        <v>245147.26056719999</v>
      </c>
      <c r="Y30" s="1">
        <v>117632.5394328</v>
      </c>
      <c r="Z30" s="1">
        <v>121084.35345155981</v>
      </c>
      <c r="AA30" s="1">
        <v>31409664000</v>
      </c>
      <c r="AB30" s="1">
        <v>44.715131462558084</v>
      </c>
      <c r="AC30" s="1">
        <v>0</v>
      </c>
    </row>
    <row r="31" spans="1:29">
      <c r="A31" s="1">
        <v>28</v>
      </c>
      <c r="B31" s="1" t="s">
        <v>464</v>
      </c>
      <c r="C31" s="1">
        <v>5425.14</v>
      </c>
      <c r="D31" s="1">
        <v>160</v>
      </c>
      <c r="E31" s="1">
        <v>8</v>
      </c>
      <c r="F31" s="1">
        <v>160</v>
      </c>
      <c r="G31" s="1">
        <v>13</v>
      </c>
      <c r="H31" s="1">
        <v>28</v>
      </c>
      <c r="I31" s="1">
        <v>30</v>
      </c>
      <c r="J31" s="1">
        <v>19</v>
      </c>
      <c r="K31" s="1">
        <v>100</v>
      </c>
      <c r="L31" s="1">
        <v>61</v>
      </c>
      <c r="M31" s="1">
        <v>15</v>
      </c>
      <c r="N31" s="1">
        <v>5425.14</v>
      </c>
      <c r="O31" s="1">
        <v>147</v>
      </c>
      <c r="P31" s="1">
        <v>0.16143195266272187</v>
      </c>
      <c r="Q31" s="1">
        <v>21.395348837209301</v>
      </c>
      <c r="R31" s="1">
        <v>24919994.392606784</v>
      </c>
      <c r="S31" s="1">
        <v>8892338.1320643853</v>
      </c>
      <c r="T31" s="1">
        <v>67.774839087802306</v>
      </c>
      <c r="U31" s="1">
        <v>40.48577985159946</v>
      </c>
      <c r="V31" s="1">
        <v>311499.9299075848</v>
      </c>
      <c r="W31" s="1">
        <v>111154.22665080482</v>
      </c>
      <c r="X31" s="1">
        <v>353965.26056720002</v>
      </c>
      <c r="Y31" s="1">
        <v>169963.67943280001</v>
      </c>
      <c r="Z31" s="1">
        <v>312874.92579346802</v>
      </c>
      <c r="AA31" s="1">
        <v>47943168000</v>
      </c>
      <c r="AB31" s="1">
        <v>45.80603252462776</v>
      </c>
      <c r="AC31" s="1">
        <v>0</v>
      </c>
    </row>
    <row r="32" spans="1:29">
      <c r="A32" s="1">
        <v>29</v>
      </c>
      <c r="B32" s="1" t="s">
        <v>465</v>
      </c>
      <c r="C32" s="1">
        <v>4525.1400000000003</v>
      </c>
      <c r="D32" s="1">
        <v>171</v>
      </c>
      <c r="E32" s="1">
        <v>6</v>
      </c>
      <c r="F32" s="1">
        <v>180</v>
      </c>
      <c r="G32" s="1">
        <v>9.5</v>
      </c>
      <c r="H32" s="1">
        <v>24.5</v>
      </c>
      <c r="I32" s="1">
        <v>25</v>
      </c>
      <c r="J32" s="1">
        <v>18</v>
      </c>
      <c r="K32" s="1">
        <v>121</v>
      </c>
      <c r="L32" s="1">
        <v>72</v>
      </c>
      <c r="M32" s="1">
        <v>15</v>
      </c>
      <c r="N32" s="1">
        <v>4525.1400000000003</v>
      </c>
      <c r="O32" s="1">
        <v>161.5</v>
      </c>
      <c r="P32" s="1">
        <v>0.19650415512465375</v>
      </c>
      <c r="Q32" s="1">
        <v>17.702531645569621</v>
      </c>
      <c r="R32" s="1">
        <v>25102850.422816385</v>
      </c>
      <c r="S32" s="1">
        <v>9246043.9131987859</v>
      </c>
      <c r="T32" s="1">
        <v>74.481001743993971</v>
      </c>
      <c r="U32" s="1">
        <v>45.202449101502772</v>
      </c>
      <c r="V32" s="1">
        <v>293600.58974054252</v>
      </c>
      <c r="W32" s="1">
        <v>102733.82125776428</v>
      </c>
      <c r="X32" s="1">
        <v>324852.52056720003</v>
      </c>
      <c r="Y32" s="1">
        <v>156494.5394328</v>
      </c>
      <c r="Z32" s="1">
        <v>149004.15850288709</v>
      </c>
      <c r="AA32" s="1">
        <v>60210874125</v>
      </c>
      <c r="AB32" s="1">
        <v>50.427887997943934</v>
      </c>
      <c r="AC32" s="1">
        <v>0</v>
      </c>
    </row>
    <row r="33" spans="1:29">
      <c r="A33" s="1">
        <v>30</v>
      </c>
      <c r="B33" s="1" t="s">
        <v>466</v>
      </c>
      <c r="C33" s="1">
        <v>6525.14</v>
      </c>
      <c r="D33" s="1">
        <v>180</v>
      </c>
      <c r="E33" s="1">
        <v>8.5</v>
      </c>
      <c r="F33" s="1">
        <v>180</v>
      </c>
      <c r="G33" s="1">
        <v>14</v>
      </c>
      <c r="H33" s="1">
        <v>29</v>
      </c>
      <c r="I33" s="1">
        <v>30</v>
      </c>
      <c r="J33" s="1">
        <v>19.25</v>
      </c>
      <c r="K33" s="1">
        <v>120</v>
      </c>
      <c r="L33" s="1">
        <v>70.75</v>
      </c>
      <c r="M33" s="1">
        <v>15</v>
      </c>
      <c r="N33" s="1">
        <v>6525.14</v>
      </c>
      <c r="O33" s="1">
        <v>166</v>
      </c>
      <c r="P33" s="1">
        <v>0.15429145408163267</v>
      </c>
      <c r="Q33" s="1">
        <v>22.421875</v>
      </c>
      <c r="R33" s="1">
        <v>38311312.089483052</v>
      </c>
      <c r="S33" s="1">
        <v>13628454.959697451</v>
      </c>
      <c r="T33" s="1">
        <v>76.624666258502984</v>
      </c>
      <c r="U33" s="1">
        <v>45.701283221296116</v>
      </c>
      <c r="V33" s="1">
        <v>425681.2454387006</v>
      </c>
      <c r="W33" s="1">
        <v>151427.27732997169</v>
      </c>
      <c r="X33" s="1">
        <v>481447.52056720003</v>
      </c>
      <c r="Y33" s="1">
        <v>231013.46443280001</v>
      </c>
      <c r="Z33" s="1">
        <v>422254.65606389189</v>
      </c>
      <c r="AA33" s="1">
        <v>93745512000</v>
      </c>
      <c r="AB33" s="1">
        <v>51.548982754154672</v>
      </c>
      <c r="AC33" s="1">
        <v>0</v>
      </c>
    </row>
    <row r="34" spans="1:29">
      <c r="A34" s="1">
        <v>31</v>
      </c>
      <c r="B34" s="1" t="s">
        <v>467</v>
      </c>
      <c r="C34" s="1">
        <v>5383.1216000000004</v>
      </c>
      <c r="D34" s="1">
        <v>190</v>
      </c>
      <c r="E34" s="1">
        <v>6.5</v>
      </c>
      <c r="F34" s="1">
        <v>200</v>
      </c>
      <c r="G34" s="1">
        <v>10</v>
      </c>
      <c r="H34" s="1">
        <v>28</v>
      </c>
      <c r="I34" s="1">
        <v>30</v>
      </c>
      <c r="J34" s="1">
        <v>21.25</v>
      </c>
      <c r="K34" s="1">
        <v>130</v>
      </c>
      <c r="L34" s="1">
        <v>78.75</v>
      </c>
      <c r="M34" s="1">
        <v>18</v>
      </c>
      <c r="N34" s="1">
        <v>5383.1216000000004</v>
      </c>
      <c r="O34" s="1">
        <v>180</v>
      </c>
      <c r="P34" s="1">
        <v>0.21396375000000001</v>
      </c>
      <c r="Q34" s="1">
        <v>19.816576086956523</v>
      </c>
      <c r="R34" s="1">
        <v>36921517.653825216</v>
      </c>
      <c r="S34" s="1">
        <v>13355075.190773753</v>
      </c>
      <c r="T34" s="1">
        <v>82.817606914621678</v>
      </c>
      <c r="U34" s="1">
        <v>49.80879940815479</v>
      </c>
      <c r="V34" s="1">
        <v>388647.55425079173</v>
      </c>
      <c r="W34" s="1">
        <v>133550.75190773755</v>
      </c>
      <c r="X34" s="1">
        <v>429484.61362012161</v>
      </c>
      <c r="Y34" s="1">
        <v>203817.7425798784</v>
      </c>
      <c r="Z34" s="1">
        <v>210686.41111984034</v>
      </c>
      <c r="AA34" s="1">
        <v>108000000000</v>
      </c>
      <c r="AB34" s="1">
        <v>55.611736196248351</v>
      </c>
      <c r="AC34" s="1">
        <v>0</v>
      </c>
    </row>
    <row r="35" spans="1:29">
      <c r="A35" s="1">
        <v>32</v>
      </c>
      <c r="B35" s="1" t="s">
        <v>468</v>
      </c>
      <c r="C35" s="1">
        <v>7808.1216000000004</v>
      </c>
      <c r="D35" s="1">
        <v>200</v>
      </c>
      <c r="E35" s="1">
        <v>9</v>
      </c>
      <c r="F35" s="1">
        <v>200</v>
      </c>
      <c r="G35" s="1">
        <v>15</v>
      </c>
      <c r="H35" s="1">
        <v>33</v>
      </c>
      <c r="I35" s="1">
        <v>35</v>
      </c>
      <c r="J35" s="1">
        <v>22.5</v>
      </c>
      <c r="K35" s="1">
        <v>130</v>
      </c>
      <c r="L35" s="1">
        <v>77.5</v>
      </c>
      <c r="M35" s="1">
        <v>18</v>
      </c>
      <c r="N35" s="1">
        <v>7808.1216000000004</v>
      </c>
      <c r="O35" s="1">
        <v>185</v>
      </c>
      <c r="P35" s="1">
        <v>0.16482000000000002</v>
      </c>
      <c r="Q35" s="1">
        <v>24.926470588235293</v>
      </c>
      <c r="R35" s="1">
        <v>56961725.987158552</v>
      </c>
      <c r="S35" s="1">
        <v>20033668.695556782</v>
      </c>
      <c r="T35" s="1">
        <v>85.41188094926143</v>
      </c>
      <c r="U35" s="1">
        <v>50.653208469557171</v>
      </c>
      <c r="V35" s="1">
        <v>569617.25987158553</v>
      </c>
      <c r="W35" s="1">
        <v>200336.68695556783</v>
      </c>
      <c r="X35" s="1">
        <v>642547.11362012161</v>
      </c>
      <c r="Y35" s="1">
        <v>305812.26957987843</v>
      </c>
      <c r="Z35" s="1">
        <v>597304.90553610888</v>
      </c>
      <c r="AA35" s="1">
        <v>171125000000</v>
      </c>
      <c r="AB35" s="1">
        <v>57.037376301701805</v>
      </c>
      <c r="AC35" s="1">
        <v>0</v>
      </c>
    </row>
    <row r="36" spans="1:29">
      <c r="A36" s="1">
        <v>33</v>
      </c>
      <c r="B36" s="1" t="s">
        <v>469</v>
      </c>
      <c r="C36" s="1">
        <v>6434.1216000000004</v>
      </c>
      <c r="D36" s="1">
        <v>210</v>
      </c>
      <c r="E36" s="1">
        <v>7</v>
      </c>
      <c r="F36" s="1">
        <v>220</v>
      </c>
      <c r="G36" s="1">
        <v>11</v>
      </c>
      <c r="H36" s="1">
        <v>29</v>
      </c>
      <c r="I36" s="1">
        <v>30</v>
      </c>
      <c r="J36" s="1">
        <v>21.5</v>
      </c>
      <c r="K36" s="1">
        <v>150</v>
      </c>
      <c r="L36" s="1">
        <v>88.5</v>
      </c>
      <c r="M36" s="1">
        <v>18</v>
      </c>
      <c r="N36" s="1">
        <v>6434.1216000000004</v>
      </c>
      <c r="O36" s="1">
        <v>199</v>
      </c>
      <c r="P36" s="1">
        <v>0.20111157024793394</v>
      </c>
      <c r="Q36" s="1">
        <v>20.835106382978722</v>
      </c>
      <c r="R36" s="1">
        <v>54096973.88192074</v>
      </c>
      <c r="S36" s="1">
        <v>19545586.777997024</v>
      </c>
      <c r="T36" s="1">
        <v>91.694197447573217</v>
      </c>
      <c r="U36" s="1">
        <v>55.116257975919197</v>
      </c>
      <c r="V36" s="1">
        <v>515209.27506591182</v>
      </c>
      <c r="W36" s="1">
        <v>177687.15252724566</v>
      </c>
      <c r="X36" s="1">
        <v>568457.20802012156</v>
      </c>
      <c r="Y36" s="1">
        <v>270594.64797987841</v>
      </c>
      <c r="Z36" s="1">
        <v>286355.41783009045</v>
      </c>
      <c r="AA36" s="1">
        <v>193266080333.33334</v>
      </c>
      <c r="AB36" s="1">
        <v>61.438988972774979</v>
      </c>
      <c r="AC36" s="1">
        <v>0</v>
      </c>
    </row>
    <row r="37" spans="1:29">
      <c r="A37" s="1">
        <v>34</v>
      </c>
      <c r="B37" s="1" t="s">
        <v>470</v>
      </c>
      <c r="C37" s="1">
        <v>9104.1216000000004</v>
      </c>
      <c r="D37" s="1">
        <v>220</v>
      </c>
      <c r="E37" s="1">
        <v>9.5</v>
      </c>
      <c r="F37" s="1">
        <v>220</v>
      </c>
      <c r="G37" s="1">
        <v>16</v>
      </c>
      <c r="H37" s="1">
        <v>34</v>
      </c>
      <c r="I37" s="1">
        <v>35</v>
      </c>
      <c r="J37" s="1">
        <v>22.75</v>
      </c>
      <c r="K37" s="1">
        <v>150</v>
      </c>
      <c r="L37" s="1">
        <v>87.25</v>
      </c>
      <c r="M37" s="1">
        <v>18</v>
      </c>
      <c r="N37" s="1">
        <v>9104.1216000000004</v>
      </c>
      <c r="O37" s="1">
        <v>204</v>
      </c>
      <c r="P37" s="1">
        <v>0.15828662109375002</v>
      </c>
      <c r="Q37" s="1">
        <v>25.953125</v>
      </c>
      <c r="R37" s="1">
        <v>80909613.88192074</v>
      </c>
      <c r="S37" s="1">
        <v>28432642.33794672</v>
      </c>
      <c r="T37" s="1">
        <v>94.271635019910249</v>
      </c>
      <c r="U37" s="1">
        <v>55.88427049539856</v>
      </c>
      <c r="V37" s="1">
        <v>735541.94438109768</v>
      </c>
      <c r="W37" s="1">
        <v>258478.56670860655</v>
      </c>
      <c r="X37" s="1">
        <v>827047.20802012156</v>
      </c>
      <c r="Y37" s="1">
        <v>393881.04997987841</v>
      </c>
      <c r="Z37" s="1">
        <v>770576.30474810605</v>
      </c>
      <c r="AA37" s="1">
        <v>295418112000</v>
      </c>
      <c r="AB37" s="1">
        <v>62.792095288382029</v>
      </c>
      <c r="AC37" s="1">
        <v>0</v>
      </c>
    </row>
    <row r="38" spans="1:29">
      <c r="A38" s="1">
        <v>35</v>
      </c>
      <c r="B38" s="1" t="s">
        <v>471</v>
      </c>
      <c r="C38" s="1">
        <v>7683.5544</v>
      </c>
      <c r="D38" s="1">
        <v>230</v>
      </c>
      <c r="E38" s="1">
        <v>7.5</v>
      </c>
      <c r="F38" s="1">
        <v>240</v>
      </c>
      <c r="G38" s="1">
        <v>12</v>
      </c>
      <c r="H38" s="1">
        <v>33</v>
      </c>
      <c r="I38" s="1">
        <v>35</v>
      </c>
      <c r="J38" s="1">
        <v>24.75</v>
      </c>
      <c r="K38" s="1">
        <v>160</v>
      </c>
      <c r="L38" s="1">
        <v>95.25</v>
      </c>
      <c r="M38" s="1">
        <v>21</v>
      </c>
      <c r="N38" s="1">
        <v>7683.5544</v>
      </c>
      <c r="O38" s="1">
        <v>218</v>
      </c>
      <c r="P38" s="1">
        <v>0.21057031250000002</v>
      </c>
      <c r="Q38" s="1">
        <v>23.34375</v>
      </c>
      <c r="R38" s="1">
        <v>77631769.046187937</v>
      </c>
      <c r="S38" s="1">
        <v>27688047.06232721</v>
      </c>
      <c r="T38" s="1">
        <v>100.51680046773211</v>
      </c>
      <c r="U38" s="1">
        <v>60.029548513926386</v>
      </c>
      <c r="V38" s="1">
        <v>675058.86127119942</v>
      </c>
      <c r="W38" s="1">
        <v>230733.72551939343</v>
      </c>
      <c r="X38" s="1">
        <v>744622.90747639677</v>
      </c>
      <c r="Y38" s="1">
        <v>351692.14972360322</v>
      </c>
      <c r="Z38" s="1">
        <v>421797.09796898835</v>
      </c>
      <c r="AA38" s="1">
        <v>328485888000</v>
      </c>
      <c r="AB38" s="1">
        <v>66.863420522818856</v>
      </c>
      <c r="AC38" s="1">
        <v>0</v>
      </c>
    </row>
    <row r="39" spans="1:29">
      <c r="A39" s="1">
        <v>36</v>
      </c>
      <c r="B39" s="1" t="s">
        <v>472</v>
      </c>
      <c r="C39" s="1">
        <v>10598.554400000001</v>
      </c>
      <c r="D39" s="1">
        <v>240</v>
      </c>
      <c r="E39" s="1">
        <v>10</v>
      </c>
      <c r="F39" s="1">
        <v>240</v>
      </c>
      <c r="G39" s="1">
        <v>17</v>
      </c>
      <c r="H39" s="1">
        <v>38</v>
      </c>
      <c r="I39" s="1">
        <v>40</v>
      </c>
      <c r="J39" s="1">
        <v>26</v>
      </c>
      <c r="K39" s="1">
        <v>160</v>
      </c>
      <c r="L39" s="1">
        <v>94</v>
      </c>
      <c r="M39" s="1">
        <v>21</v>
      </c>
      <c r="N39" s="1">
        <v>10598.554400000001</v>
      </c>
      <c r="O39" s="1">
        <v>223</v>
      </c>
      <c r="P39" s="1">
        <v>0.16747058823529409</v>
      </c>
      <c r="Q39" s="1">
        <v>28.457627118644069</v>
      </c>
      <c r="R39" s="1">
        <v>112592980.71285461</v>
      </c>
      <c r="S39" s="1">
        <v>39226551.219552882</v>
      </c>
      <c r="T39" s="1">
        <v>103.07001556028253</v>
      </c>
      <c r="U39" s="1">
        <v>60.836853871069501</v>
      </c>
      <c r="V39" s="1">
        <v>938274.83927378838</v>
      </c>
      <c r="W39" s="1">
        <v>326887.92682960734</v>
      </c>
      <c r="X39" s="1">
        <v>1053145.4074763968</v>
      </c>
      <c r="Y39" s="1">
        <v>498418.46772360319</v>
      </c>
      <c r="Z39" s="1">
        <v>1039334.067997045</v>
      </c>
      <c r="AA39" s="1">
        <v>486946368000</v>
      </c>
      <c r="AB39" s="1">
        <v>68.275118388793516</v>
      </c>
      <c r="AC39" s="1">
        <v>0</v>
      </c>
    </row>
    <row r="40" spans="1:29">
      <c r="A40" s="1">
        <v>37</v>
      </c>
      <c r="B40" s="1" t="s">
        <v>473</v>
      </c>
      <c r="C40" s="1">
        <v>8681.9383999999991</v>
      </c>
      <c r="D40" s="1">
        <v>250</v>
      </c>
      <c r="E40" s="1">
        <v>7.5</v>
      </c>
      <c r="F40" s="1">
        <v>260</v>
      </c>
      <c r="G40" s="1">
        <v>12.5</v>
      </c>
      <c r="H40" s="1">
        <v>36.5</v>
      </c>
      <c r="I40" s="1">
        <v>40</v>
      </c>
      <c r="J40" s="1">
        <v>27.75</v>
      </c>
      <c r="K40" s="1">
        <v>170</v>
      </c>
      <c r="L40" s="1">
        <v>102.25</v>
      </c>
      <c r="M40" s="1">
        <v>24</v>
      </c>
      <c r="N40" s="1">
        <v>8681.9383999999991</v>
      </c>
      <c r="O40" s="1">
        <v>237.5</v>
      </c>
      <c r="P40" s="1">
        <v>0.22537200000000002</v>
      </c>
      <c r="Q40" s="1">
        <v>25.228305785123968</v>
      </c>
      <c r="R40" s="1">
        <v>104549445.73011295</v>
      </c>
      <c r="S40" s="1">
        <v>36675572.079607047</v>
      </c>
      <c r="T40" s="1">
        <v>109.73685700288974</v>
      </c>
      <c r="U40" s="1">
        <v>64.995022490960039</v>
      </c>
      <c r="V40" s="1">
        <v>836395.56584090367</v>
      </c>
      <c r="W40" s="1">
        <v>282119.78522774653</v>
      </c>
      <c r="X40" s="1">
        <v>919770.59380325116</v>
      </c>
      <c r="Y40" s="1">
        <v>430168.80769674882</v>
      </c>
      <c r="Z40" s="1">
        <v>542520.61834102892</v>
      </c>
      <c r="AA40" s="1">
        <v>516352213541.66669</v>
      </c>
      <c r="AB40" s="1">
        <v>72.160477226778369</v>
      </c>
      <c r="AC40" s="1">
        <v>0</v>
      </c>
    </row>
    <row r="41" spans="1:29">
      <c r="A41" s="1">
        <v>38</v>
      </c>
      <c r="B41" s="1" t="s">
        <v>474</v>
      </c>
      <c r="C41" s="1">
        <v>11844.438399999999</v>
      </c>
      <c r="D41" s="1">
        <v>260</v>
      </c>
      <c r="E41" s="1">
        <v>10</v>
      </c>
      <c r="F41" s="1">
        <v>260</v>
      </c>
      <c r="G41" s="1">
        <v>17.5</v>
      </c>
      <c r="H41" s="1">
        <v>41.5</v>
      </c>
      <c r="I41" s="1">
        <v>45</v>
      </c>
      <c r="J41" s="1">
        <v>29</v>
      </c>
      <c r="K41" s="1">
        <v>170</v>
      </c>
      <c r="L41" s="1">
        <v>101</v>
      </c>
      <c r="M41" s="1">
        <v>24</v>
      </c>
      <c r="N41" s="1">
        <v>11844.438399999999</v>
      </c>
      <c r="O41" s="1">
        <v>242.5</v>
      </c>
      <c r="P41" s="1">
        <v>0.1787673469387755</v>
      </c>
      <c r="Q41" s="1">
        <v>30.33969465648855</v>
      </c>
      <c r="R41" s="1">
        <v>149194159.27177963</v>
      </c>
      <c r="S41" s="1">
        <v>51345113.013015591</v>
      </c>
      <c r="T41" s="1">
        <v>112.23250954028177</v>
      </c>
      <c r="U41" s="1">
        <v>65.840378708420815</v>
      </c>
      <c r="V41" s="1">
        <v>1147647.3790136895</v>
      </c>
      <c r="W41" s="1">
        <v>394962.40779242764</v>
      </c>
      <c r="X41" s="1">
        <v>1282911.2188032512</v>
      </c>
      <c r="Y41" s="1">
        <v>602247.79319674883</v>
      </c>
      <c r="Z41" s="1">
        <v>1267511.3859148053</v>
      </c>
      <c r="AA41" s="1">
        <v>753651098958.33337</v>
      </c>
      <c r="AB41" s="1">
        <v>73.652280096572099</v>
      </c>
      <c r="AC41" s="1">
        <v>0</v>
      </c>
    </row>
    <row r="42" spans="1:29">
      <c r="A42" s="1">
        <v>39</v>
      </c>
      <c r="B42" s="1" t="s">
        <v>475</v>
      </c>
      <c r="C42" s="1">
        <v>9726.4383999999991</v>
      </c>
      <c r="D42" s="1">
        <v>270</v>
      </c>
      <c r="E42" s="1">
        <v>8</v>
      </c>
      <c r="F42" s="1">
        <v>280</v>
      </c>
      <c r="G42" s="1">
        <v>13</v>
      </c>
      <c r="H42" s="1">
        <v>37</v>
      </c>
      <c r="I42" s="1">
        <v>40</v>
      </c>
      <c r="J42" s="1">
        <v>28</v>
      </c>
      <c r="K42" s="1">
        <v>190</v>
      </c>
      <c r="L42" s="1">
        <v>112</v>
      </c>
      <c r="M42" s="1">
        <v>24</v>
      </c>
      <c r="N42" s="1">
        <v>9726.4383999999991</v>
      </c>
      <c r="O42" s="1">
        <v>257</v>
      </c>
      <c r="P42" s="1">
        <v>0.21873372781065092</v>
      </c>
      <c r="Q42" s="1">
        <v>25.852459016393443</v>
      </c>
      <c r="R42" s="1">
        <v>136732866.49464139</v>
      </c>
      <c r="S42" s="1">
        <v>47626355.865022086</v>
      </c>
      <c r="T42" s="1">
        <v>118.56582811424465</v>
      </c>
      <c r="U42" s="1">
        <v>69.975620149369433</v>
      </c>
      <c r="V42" s="1">
        <v>1012836.0481084548</v>
      </c>
      <c r="W42" s="1">
        <v>340188.25617872918</v>
      </c>
      <c r="X42" s="1">
        <v>1112222.8836032513</v>
      </c>
      <c r="Y42" s="1">
        <v>518132.35479674878</v>
      </c>
      <c r="Z42" s="1">
        <v>635166.59246730607</v>
      </c>
      <c r="AA42" s="1">
        <v>785366642666.66663</v>
      </c>
      <c r="AB42" s="1">
        <v>77.733042264080751</v>
      </c>
      <c r="AC42" s="1">
        <v>0</v>
      </c>
    </row>
    <row r="43" spans="1:29">
      <c r="A43" s="1">
        <v>40</v>
      </c>
      <c r="B43" s="1" t="s">
        <v>476</v>
      </c>
      <c r="C43" s="1">
        <v>13136.438399999999</v>
      </c>
      <c r="D43" s="1">
        <v>280</v>
      </c>
      <c r="E43" s="1">
        <v>10.5</v>
      </c>
      <c r="F43" s="1">
        <v>280</v>
      </c>
      <c r="G43" s="1">
        <v>18</v>
      </c>
      <c r="H43" s="1">
        <v>42</v>
      </c>
      <c r="I43" s="1">
        <v>45</v>
      </c>
      <c r="J43" s="1">
        <v>29.25</v>
      </c>
      <c r="K43" s="1">
        <v>190</v>
      </c>
      <c r="L43" s="1">
        <v>110.75</v>
      </c>
      <c r="M43" s="1">
        <v>24</v>
      </c>
      <c r="N43" s="1">
        <v>13136.438399999999</v>
      </c>
      <c r="O43" s="1">
        <v>262</v>
      </c>
      <c r="P43" s="1">
        <v>0.17571875000000001</v>
      </c>
      <c r="Q43" s="1">
        <v>30.963068181818183</v>
      </c>
      <c r="R43" s="1">
        <v>192702613.16130805</v>
      </c>
      <c r="S43" s="1">
        <v>65945160.353680633</v>
      </c>
      <c r="T43" s="1">
        <v>121.11696656455287</v>
      </c>
      <c r="U43" s="1">
        <v>70.85208704232015</v>
      </c>
      <c r="V43" s="1">
        <v>1376447.236866486</v>
      </c>
      <c r="W43" s="1">
        <v>471036.85966914735</v>
      </c>
      <c r="X43" s="1">
        <v>1534432.8836032513</v>
      </c>
      <c r="Y43" s="1">
        <v>717571.65279674879</v>
      </c>
      <c r="Z43" s="1">
        <v>1461719.5966849013</v>
      </c>
      <c r="AA43" s="1">
        <v>1130154816000</v>
      </c>
      <c r="AB43" s="1">
        <v>79.222278329542107</v>
      </c>
      <c r="AC43" s="1">
        <v>0</v>
      </c>
    </row>
    <row r="44" spans="1:29">
      <c r="A44" s="1">
        <v>41</v>
      </c>
      <c r="B44" s="1" t="s">
        <v>477</v>
      </c>
      <c r="C44" s="1">
        <v>11255.3236</v>
      </c>
      <c r="D44" s="1">
        <v>290.3</v>
      </c>
      <c r="E44" s="1">
        <v>8.5</v>
      </c>
      <c r="F44" s="1">
        <v>300</v>
      </c>
      <c r="G44" s="1">
        <v>14</v>
      </c>
      <c r="H44" s="1">
        <v>41</v>
      </c>
      <c r="I44" s="1">
        <v>45</v>
      </c>
      <c r="J44" s="1">
        <v>31.25</v>
      </c>
      <c r="K44" s="1">
        <v>200.3</v>
      </c>
      <c r="L44" s="1">
        <v>118.75</v>
      </c>
      <c r="M44" s="1">
        <v>27</v>
      </c>
      <c r="N44" s="1">
        <v>11255.3236</v>
      </c>
      <c r="O44" s="1">
        <v>276.3</v>
      </c>
      <c r="P44" s="1">
        <v>0.22584757653061227</v>
      </c>
      <c r="Q44" s="1">
        <v>28.361213235294116</v>
      </c>
      <c r="R44" s="1">
        <v>183050033.3880502</v>
      </c>
      <c r="S44" s="1">
        <v>63095509.774804093</v>
      </c>
      <c r="T44" s="1">
        <v>127.52810703894372</v>
      </c>
      <c r="U44" s="1">
        <v>74.872137847466789</v>
      </c>
      <c r="V44" s="1">
        <v>1261109.4274064773</v>
      </c>
      <c r="W44" s="1">
        <v>420636.73183202726</v>
      </c>
      <c r="X44" s="1">
        <v>1384958.9483579104</v>
      </c>
      <c r="Y44" s="1">
        <v>641171.3320820895</v>
      </c>
      <c r="Z44" s="1">
        <v>878603.63483957539</v>
      </c>
      <c r="AA44" s="1">
        <v>1202381617500.0002</v>
      </c>
      <c r="AB44" s="1">
        <v>83.13775353678426</v>
      </c>
      <c r="AC44" s="1">
        <v>0</v>
      </c>
    </row>
    <row r="45" spans="1:29">
      <c r="A45" s="1">
        <v>42</v>
      </c>
      <c r="B45" s="1" t="s">
        <v>478</v>
      </c>
      <c r="C45" s="1">
        <v>14907.7736</v>
      </c>
      <c r="D45" s="1">
        <v>300</v>
      </c>
      <c r="E45" s="1">
        <v>11</v>
      </c>
      <c r="F45" s="1">
        <v>300</v>
      </c>
      <c r="G45" s="1">
        <v>19</v>
      </c>
      <c r="H45" s="1">
        <v>46</v>
      </c>
      <c r="I45" s="1">
        <v>50</v>
      </c>
      <c r="J45" s="1">
        <v>32.5</v>
      </c>
      <c r="K45" s="1">
        <v>200</v>
      </c>
      <c r="L45" s="1">
        <v>117.5</v>
      </c>
      <c r="M45" s="1">
        <v>27</v>
      </c>
      <c r="N45" s="1">
        <v>14907.7736</v>
      </c>
      <c r="O45" s="1">
        <v>281</v>
      </c>
      <c r="P45" s="1">
        <v>0.18316620498614963</v>
      </c>
      <c r="Q45" s="1">
        <v>33.469178082191782</v>
      </c>
      <c r="R45" s="1">
        <v>251656617.26253217</v>
      </c>
      <c r="S45" s="1">
        <v>85628207.809592664</v>
      </c>
      <c r="T45" s="1">
        <v>129.92651302083718</v>
      </c>
      <c r="U45" s="1">
        <v>75.788276845263638</v>
      </c>
      <c r="V45" s="1">
        <v>1677710.7817502145</v>
      </c>
      <c r="W45" s="1">
        <v>570854.71873061778</v>
      </c>
      <c r="X45" s="1">
        <v>1868673.3410679104</v>
      </c>
      <c r="Y45" s="1">
        <v>870141.25533208961</v>
      </c>
      <c r="Z45" s="1">
        <v>1892985.7658873482</v>
      </c>
      <c r="AA45" s="1">
        <v>1687791375000</v>
      </c>
      <c r="AB45" s="1">
        <v>84.681402367902649</v>
      </c>
      <c r="AC45" s="1">
        <v>0</v>
      </c>
    </row>
    <row r="46" spans="1:29">
      <c r="A46" s="1">
        <v>43</v>
      </c>
      <c r="B46" s="1" t="s">
        <v>479</v>
      </c>
      <c r="C46" s="1">
        <v>12436.7736</v>
      </c>
      <c r="D46" s="1">
        <v>310</v>
      </c>
      <c r="E46" s="1">
        <v>9</v>
      </c>
      <c r="F46" s="1">
        <v>300</v>
      </c>
      <c r="G46" s="1">
        <v>15.5</v>
      </c>
      <c r="H46" s="1">
        <v>42.5</v>
      </c>
      <c r="I46" s="1">
        <v>45</v>
      </c>
      <c r="J46" s="1">
        <v>31.5</v>
      </c>
      <c r="K46" s="1">
        <v>220</v>
      </c>
      <c r="L46" s="1">
        <v>118.5</v>
      </c>
      <c r="M46" s="1">
        <v>27</v>
      </c>
      <c r="N46" s="1">
        <v>12436.7736</v>
      </c>
      <c r="O46" s="1">
        <v>294.5</v>
      </c>
      <c r="P46" s="1">
        <v>0.21071175858480751</v>
      </c>
      <c r="Q46" s="1">
        <v>29.776978417266186</v>
      </c>
      <c r="R46" s="1">
        <v>229285722.78661999</v>
      </c>
      <c r="S46" s="1">
        <v>69852291.15586181</v>
      </c>
      <c r="T46" s="1">
        <v>135.77963665731411</v>
      </c>
      <c r="U46" s="1">
        <v>74.943930021960668</v>
      </c>
      <c r="V46" s="1">
        <v>1479262.7276556129</v>
      </c>
      <c r="W46" s="1">
        <v>465681.94103907875</v>
      </c>
      <c r="X46" s="1">
        <v>1628088.6666679103</v>
      </c>
      <c r="Y46" s="1">
        <v>709739.73173208965</v>
      </c>
      <c r="Z46" s="1">
        <v>1119644.7059752038</v>
      </c>
      <c r="AA46" s="1">
        <v>1512358734375</v>
      </c>
      <c r="AB46" s="1">
        <v>83.386418723231131</v>
      </c>
      <c r="AC46" s="1">
        <v>0</v>
      </c>
    </row>
    <row r="47" spans="1:29">
      <c r="A47" s="1">
        <v>44</v>
      </c>
      <c r="B47" s="1" t="s">
        <v>480</v>
      </c>
      <c r="C47" s="1">
        <v>16134.2736</v>
      </c>
      <c r="D47" s="1">
        <v>320</v>
      </c>
      <c r="E47" s="1">
        <v>11.5</v>
      </c>
      <c r="F47" s="1">
        <v>300</v>
      </c>
      <c r="G47" s="1">
        <v>20.5</v>
      </c>
      <c r="H47" s="1">
        <v>47.5</v>
      </c>
      <c r="I47" s="1">
        <v>50</v>
      </c>
      <c r="J47" s="1">
        <v>32.75</v>
      </c>
      <c r="K47" s="1">
        <v>220</v>
      </c>
      <c r="L47" s="1">
        <v>117.25</v>
      </c>
      <c r="M47" s="1">
        <v>27</v>
      </c>
      <c r="N47" s="1">
        <v>16134.2736</v>
      </c>
      <c r="O47" s="1">
        <v>299.5</v>
      </c>
      <c r="P47" s="1">
        <v>0.17381112433075552</v>
      </c>
      <c r="Q47" s="1">
        <v>34.896812080536911</v>
      </c>
      <c r="R47" s="1">
        <v>308235230.91162002</v>
      </c>
      <c r="S47" s="1">
        <v>92388154.97519204</v>
      </c>
      <c r="T47" s="1">
        <v>138.21858086860047</v>
      </c>
      <c r="U47" s="1">
        <v>75.671690893129835</v>
      </c>
      <c r="V47" s="1">
        <v>1926470.1931976252</v>
      </c>
      <c r="W47" s="1">
        <v>615921.03316794697</v>
      </c>
      <c r="X47" s="1">
        <v>2149239.2916679103</v>
      </c>
      <c r="Y47" s="1">
        <v>939096.6362320896</v>
      </c>
      <c r="Z47" s="1">
        <v>2305816.1610123739</v>
      </c>
      <c r="AA47" s="1">
        <v>2068712015625</v>
      </c>
      <c r="AB47" s="1">
        <v>84.744284187824377</v>
      </c>
      <c r="AC47" s="1">
        <v>0</v>
      </c>
    </row>
    <row r="48" spans="1:29">
      <c r="A48" s="1">
        <v>45</v>
      </c>
      <c r="B48" s="1" t="s">
        <v>481</v>
      </c>
      <c r="C48" s="1">
        <v>13347.2736</v>
      </c>
      <c r="D48" s="1">
        <v>330</v>
      </c>
      <c r="E48" s="1">
        <v>9.5</v>
      </c>
      <c r="F48" s="1">
        <v>300</v>
      </c>
      <c r="G48" s="1">
        <v>16.5</v>
      </c>
      <c r="H48" s="1">
        <v>43.5</v>
      </c>
      <c r="I48" s="1">
        <v>45</v>
      </c>
      <c r="J48" s="1">
        <v>31.75</v>
      </c>
      <c r="K48" s="1">
        <v>240</v>
      </c>
      <c r="L48" s="1">
        <v>118.25</v>
      </c>
      <c r="M48" s="1">
        <v>27</v>
      </c>
      <c r="N48" s="1">
        <v>13347.2736</v>
      </c>
      <c r="O48" s="1">
        <v>313.5</v>
      </c>
      <c r="P48" s="1">
        <v>0.2016827364554637</v>
      </c>
      <c r="Q48" s="1">
        <v>30.798758865248228</v>
      </c>
      <c r="R48" s="1">
        <v>276930857.82324237</v>
      </c>
      <c r="S48" s="1">
        <v>74359896.038827851</v>
      </c>
      <c r="T48" s="1">
        <v>144.04208329679267</v>
      </c>
      <c r="U48" s="1">
        <v>74.640253455722345</v>
      </c>
      <c r="V48" s="1">
        <v>1678368.835292378</v>
      </c>
      <c r="W48" s="1">
        <v>495732.64025885233</v>
      </c>
      <c r="X48" s="1">
        <v>1850474.7540679104</v>
      </c>
      <c r="Y48" s="1">
        <v>755947.48763208964</v>
      </c>
      <c r="Z48" s="1">
        <v>1315111.9813118812</v>
      </c>
      <c r="AA48" s="1">
        <v>1824364265625</v>
      </c>
      <c r="AB48" s="1">
        <v>83.33538733845451</v>
      </c>
      <c r="AC48" s="1">
        <v>0</v>
      </c>
    </row>
    <row r="49" spans="1:29">
      <c r="A49" s="1">
        <v>46</v>
      </c>
      <c r="B49" s="1" t="s">
        <v>482</v>
      </c>
      <c r="C49" s="1">
        <v>17089.7736</v>
      </c>
      <c r="D49" s="1">
        <v>340</v>
      </c>
      <c r="E49" s="1">
        <v>12</v>
      </c>
      <c r="F49" s="1">
        <v>300</v>
      </c>
      <c r="G49" s="1">
        <v>21.5</v>
      </c>
      <c r="H49" s="1">
        <v>48.5</v>
      </c>
      <c r="I49" s="1">
        <v>50</v>
      </c>
      <c r="J49" s="1">
        <v>33</v>
      </c>
      <c r="K49" s="1">
        <v>240</v>
      </c>
      <c r="L49" s="1">
        <v>117</v>
      </c>
      <c r="M49" s="1">
        <v>27</v>
      </c>
      <c r="N49" s="1">
        <v>17089.7736</v>
      </c>
      <c r="O49" s="1">
        <v>318.5</v>
      </c>
      <c r="P49" s="1">
        <v>0.16836668469442945</v>
      </c>
      <c r="Q49" s="1">
        <v>35.923841059602651</v>
      </c>
      <c r="R49" s="1">
        <v>366563789.69824243</v>
      </c>
      <c r="S49" s="1">
        <v>96899287.841658071</v>
      </c>
      <c r="T49" s="1">
        <v>146.45581711743924</v>
      </c>
      <c r="U49" s="1">
        <v>75.299507889688172</v>
      </c>
      <c r="V49" s="1">
        <v>2156257.5864602495</v>
      </c>
      <c r="W49" s="1">
        <v>645995.25227772049</v>
      </c>
      <c r="X49" s="1">
        <v>2408105.3790679104</v>
      </c>
      <c r="Y49" s="1">
        <v>985720.64213208959</v>
      </c>
      <c r="Z49" s="1">
        <v>2629815.3743584226</v>
      </c>
      <c r="AA49" s="1">
        <v>2453634421875</v>
      </c>
      <c r="AB49" s="1">
        <v>84.595973581348645</v>
      </c>
      <c r="AC49" s="1">
        <v>0</v>
      </c>
    </row>
    <row r="50" spans="1:29">
      <c r="A50" s="1">
        <v>47</v>
      </c>
      <c r="B50" s="1" t="s">
        <v>483</v>
      </c>
      <c r="C50" s="1">
        <v>14275.7736</v>
      </c>
      <c r="D50" s="1">
        <v>350</v>
      </c>
      <c r="E50" s="1">
        <v>10</v>
      </c>
      <c r="F50" s="1">
        <v>300</v>
      </c>
      <c r="G50" s="1">
        <v>17.5</v>
      </c>
      <c r="H50" s="1">
        <v>44.5</v>
      </c>
      <c r="I50" s="1">
        <v>45</v>
      </c>
      <c r="J50" s="1">
        <v>32</v>
      </c>
      <c r="K50" s="1">
        <v>260</v>
      </c>
      <c r="L50" s="1">
        <v>118</v>
      </c>
      <c r="M50" s="1">
        <v>27</v>
      </c>
      <c r="N50" s="1">
        <v>14275.7736</v>
      </c>
      <c r="O50" s="1">
        <v>332.5</v>
      </c>
      <c r="P50" s="1">
        <v>0.19360816326530614</v>
      </c>
      <c r="Q50" s="1">
        <v>31.821678321678323</v>
      </c>
      <c r="R50" s="1">
        <v>330897677.68306482</v>
      </c>
      <c r="S50" s="1">
        <v>78868338.330993906</v>
      </c>
      <c r="T50" s="1">
        <v>152.24640053307803</v>
      </c>
      <c r="U50" s="1">
        <v>74.327841247431195</v>
      </c>
      <c r="V50" s="1">
        <v>1890843.8724746562</v>
      </c>
      <c r="W50" s="1">
        <v>525788.92220662604</v>
      </c>
      <c r="X50" s="1">
        <v>2088472.8414679104</v>
      </c>
      <c r="Y50" s="1">
        <v>802277.86853208963</v>
      </c>
      <c r="Z50" s="1">
        <v>1534534.311563279</v>
      </c>
      <c r="AA50" s="1">
        <v>2176576171875</v>
      </c>
      <c r="AB50" s="1">
        <v>83.273024212228293</v>
      </c>
      <c r="AC50" s="1">
        <v>0</v>
      </c>
    </row>
    <row r="51" spans="1:29">
      <c r="A51" s="1">
        <v>48</v>
      </c>
      <c r="B51" s="1" t="s">
        <v>484</v>
      </c>
      <c r="C51" s="1">
        <v>18063.2736</v>
      </c>
      <c r="D51" s="1">
        <v>360</v>
      </c>
      <c r="E51" s="1">
        <v>12.5</v>
      </c>
      <c r="F51" s="1">
        <v>300</v>
      </c>
      <c r="G51" s="1">
        <v>22.5</v>
      </c>
      <c r="H51" s="1">
        <v>49.5</v>
      </c>
      <c r="I51" s="1">
        <v>50</v>
      </c>
      <c r="J51" s="1">
        <v>33.25</v>
      </c>
      <c r="K51" s="1">
        <v>260</v>
      </c>
      <c r="L51" s="1">
        <v>116.75</v>
      </c>
      <c r="M51" s="1">
        <v>27</v>
      </c>
      <c r="N51" s="1">
        <v>18063.2736</v>
      </c>
      <c r="O51" s="1">
        <v>337.5</v>
      </c>
      <c r="P51" s="1">
        <v>0.16337901234567903</v>
      </c>
      <c r="Q51" s="1">
        <v>36.951797385620914</v>
      </c>
      <c r="R51" s="1">
        <v>431934318.30806482</v>
      </c>
      <c r="S51" s="1">
        <v>101411592.80482413</v>
      </c>
      <c r="T51" s="1">
        <v>154.63600654252568</v>
      </c>
      <c r="U51" s="1">
        <v>74.928246969256108</v>
      </c>
      <c r="V51" s="1">
        <v>2399635.1017114711</v>
      </c>
      <c r="W51" s="1">
        <v>676077.2853654942</v>
      </c>
      <c r="X51" s="1">
        <v>2682988.4664679104</v>
      </c>
      <c r="Y51" s="1">
        <v>1032489.7730320896</v>
      </c>
      <c r="Z51" s="1">
        <v>2984773.8371236855</v>
      </c>
      <c r="AA51" s="1">
        <v>2883251953125</v>
      </c>
      <c r="AB51" s="1">
        <v>84.448723568587482</v>
      </c>
      <c r="AC51" s="1">
        <v>0</v>
      </c>
    </row>
    <row r="52" spans="1:29">
      <c r="A52" s="1">
        <v>49</v>
      </c>
      <c r="B52" s="1" t="s">
        <v>485</v>
      </c>
      <c r="C52" s="1">
        <v>15897.7736</v>
      </c>
      <c r="D52" s="1">
        <v>390</v>
      </c>
      <c r="E52" s="1">
        <v>11</v>
      </c>
      <c r="F52" s="1">
        <v>300</v>
      </c>
      <c r="G52" s="1">
        <v>19</v>
      </c>
      <c r="H52" s="1">
        <v>46</v>
      </c>
      <c r="I52" s="1">
        <v>50</v>
      </c>
      <c r="J52" s="1">
        <v>32.5</v>
      </c>
      <c r="K52" s="1">
        <v>290</v>
      </c>
      <c r="L52" s="1">
        <v>117.5</v>
      </c>
      <c r="M52" s="1">
        <v>27</v>
      </c>
      <c r="N52" s="1">
        <v>15897.7736</v>
      </c>
      <c r="O52" s="1">
        <v>371</v>
      </c>
      <c r="P52" s="1">
        <v>0.18316620498614963</v>
      </c>
      <c r="Q52" s="1">
        <v>33.469178082191782</v>
      </c>
      <c r="R52" s="1">
        <v>450693709.49864417</v>
      </c>
      <c r="S52" s="1">
        <v>85638190.309592664</v>
      </c>
      <c r="T52" s="1">
        <v>168.37305592611523</v>
      </c>
      <c r="U52" s="1">
        <v>73.394849908436626</v>
      </c>
      <c r="V52" s="1">
        <v>2311249.7923007393</v>
      </c>
      <c r="W52" s="1">
        <v>570921.26873061771</v>
      </c>
      <c r="X52" s="1">
        <v>2561798.1530679106</v>
      </c>
      <c r="Y52" s="1">
        <v>872863.75533208961</v>
      </c>
      <c r="Z52" s="1">
        <v>1932915.7658873482</v>
      </c>
      <c r="AA52" s="1">
        <v>2942076375000</v>
      </c>
      <c r="AB52" s="1">
        <v>82.905292340777351</v>
      </c>
      <c r="AC52" s="1">
        <v>0</v>
      </c>
    </row>
    <row r="53" spans="1:29">
      <c r="A53" s="1">
        <v>50</v>
      </c>
      <c r="B53" s="1" t="s">
        <v>486</v>
      </c>
      <c r="C53" s="1">
        <v>19777.7736</v>
      </c>
      <c r="D53" s="1">
        <v>400</v>
      </c>
      <c r="E53" s="1">
        <v>13.5</v>
      </c>
      <c r="F53" s="1">
        <v>300</v>
      </c>
      <c r="G53" s="1">
        <v>24</v>
      </c>
      <c r="H53" s="1">
        <v>51</v>
      </c>
      <c r="I53" s="1">
        <v>55</v>
      </c>
      <c r="J53" s="1">
        <v>33.75</v>
      </c>
      <c r="K53" s="1">
        <v>290</v>
      </c>
      <c r="L53" s="1">
        <v>116.25</v>
      </c>
      <c r="M53" s="1">
        <v>27</v>
      </c>
      <c r="N53" s="1">
        <v>19777.7736</v>
      </c>
      <c r="O53" s="1">
        <v>376</v>
      </c>
      <c r="P53" s="1">
        <v>0.15707226562500001</v>
      </c>
      <c r="Q53" s="1">
        <v>38.603365384615387</v>
      </c>
      <c r="R53" s="1">
        <v>576805002.83197749</v>
      </c>
      <c r="S53" s="1">
        <v>108190335.80250621</v>
      </c>
      <c r="T53" s="1">
        <v>170.7755956117515</v>
      </c>
      <c r="U53" s="1">
        <v>73.961469923052832</v>
      </c>
      <c r="V53" s="1">
        <v>2884025.0141598876</v>
      </c>
      <c r="W53" s="1">
        <v>721268.90535004134</v>
      </c>
      <c r="X53" s="1">
        <v>3231738.1530679106</v>
      </c>
      <c r="Y53" s="1">
        <v>1104035.9723320897</v>
      </c>
      <c r="Z53" s="1">
        <v>3611776.1527360892</v>
      </c>
      <c r="AA53" s="1">
        <v>3817152000000</v>
      </c>
      <c r="AB53" s="1">
        <v>83.979570192455455</v>
      </c>
      <c r="AC53" s="1">
        <v>0</v>
      </c>
    </row>
    <row r="54" spans="1:29">
      <c r="A54" s="1">
        <v>51</v>
      </c>
      <c r="B54" s="1" t="s">
        <v>487</v>
      </c>
      <c r="C54" s="1">
        <v>17802.7736</v>
      </c>
      <c r="D54" s="1">
        <v>440</v>
      </c>
      <c r="E54" s="1">
        <v>11.5</v>
      </c>
      <c r="F54" s="1">
        <v>300</v>
      </c>
      <c r="G54" s="1">
        <v>21</v>
      </c>
      <c r="H54" s="1">
        <v>48</v>
      </c>
      <c r="I54" s="1">
        <v>50</v>
      </c>
      <c r="J54" s="1">
        <v>32.75</v>
      </c>
      <c r="K54" s="1">
        <v>340</v>
      </c>
      <c r="L54" s="1">
        <v>117.25</v>
      </c>
      <c r="M54" s="1">
        <v>27</v>
      </c>
      <c r="N54" s="1">
        <v>17802.7736</v>
      </c>
      <c r="O54" s="1">
        <v>419</v>
      </c>
      <c r="P54" s="1">
        <v>0.17068849206349207</v>
      </c>
      <c r="Q54" s="1">
        <v>35.300833333333337</v>
      </c>
      <c r="R54" s="1">
        <v>637216037.77416801</v>
      </c>
      <c r="S54" s="1">
        <v>94653236.985608712</v>
      </c>
      <c r="T54" s="1">
        <v>189.1905825412841</v>
      </c>
      <c r="U54" s="1">
        <v>72.916178748626095</v>
      </c>
      <c r="V54" s="1">
        <v>2896436.5353371273</v>
      </c>
      <c r="W54" s="1">
        <v>631021.57990405813</v>
      </c>
      <c r="X54" s="1">
        <v>3215866.4458679105</v>
      </c>
      <c r="Y54" s="1">
        <v>965531.0737320896</v>
      </c>
      <c r="Z54" s="1">
        <v>2502407.2489283448</v>
      </c>
      <c r="AA54" s="1">
        <v>4147628625000</v>
      </c>
      <c r="AB54" s="1">
        <v>82.742328890455582</v>
      </c>
      <c r="AC54" s="1">
        <v>0</v>
      </c>
    </row>
    <row r="55" spans="1:29">
      <c r="A55" s="1">
        <v>52</v>
      </c>
      <c r="B55" s="1" t="s">
        <v>488</v>
      </c>
      <c r="C55" s="1">
        <v>21797.7736</v>
      </c>
      <c r="D55" s="1">
        <v>450</v>
      </c>
      <c r="E55" s="1">
        <v>14</v>
      </c>
      <c r="F55" s="1">
        <v>300</v>
      </c>
      <c r="G55" s="1">
        <v>26</v>
      </c>
      <c r="H55" s="1">
        <v>53</v>
      </c>
      <c r="I55" s="1">
        <v>55</v>
      </c>
      <c r="J55" s="1">
        <v>34</v>
      </c>
      <c r="K55" s="1">
        <v>340</v>
      </c>
      <c r="L55" s="1">
        <v>116</v>
      </c>
      <c r="M55" s="1">
        <v>27</v>
      </c>
      <c r="N55" s="1">
        <v>21797.7736</v>
      </c>
      <c r="O55" s="1">
        <v>424</v>
      </c>
      <c r="P55" s="1">
        <v>0.14830325443786985</v>
      </c>
      <c r="Q55" s="1">
        <v>40.450000000000003</v>
      </c>
      <c r="R55" s="1">
        <v>798875369.44083476</v>
      </c>
      <c r="S55" s="1">
        <v>117213212.23285559</v>
      </c>
      <c r="T55" s="1">
        <v>191.44033560077793</v>
      </c>
      <c r="U55" s="1">
        <v>73.330089528023024</v>
      </c>
      <c r="V55" s="1">
        <v>3550557.1975148213</v>
      </c>
      <c r="W55" s="1">
        <v>781421.41488570394</v>
      </c>
      <c r="X55" s="1">
        <v>3982368.9458679105</v>
      </c>
      <c r="Y55" s="1">
        <v>1197656.4157320897</v>
      </c>
      <c r="Z55" s="1">
        <v>4481370.0856165867</v>
      </c>
      <c r="AA55" s="1">
        <v>5258448000000</v>
      </c>
      <c r="AB55" s="1">
        <v>83.658092472433495</v>
      </c>
      <c r="AC55" s="1">
        <v>0</v>
      </c>
    </row>
    <row r="56" spans="1:29">
      <c r="A56" s="1">
        <v>53</v>
      </c>
      <c r="B56" s="1" t="s">
        <v>489</v>
      </c>
      <c r="C56" s="1">
        <v>19753.7736</v>
      </c>
      <c r="D56" s="1">
        <v>490</v>
      </c>
      <c r="E56" s="1">
        <v>12</v>
      </c>
      <c r="F56" s="1">
        <v>300</v>
      </c>
      <c r="G56" s="1">
        <v>23</v>
      </c>
      <c r="H56" s="1">
        <v>50</v>
      </c>
      <c r="I56" s="1">
        <v>50</v>
      </c>
      <c r="J56" s="1">
        <v>33</v>
      </c>
      <c r="K56" s="1">
        <v>390</v>
      </c>
      <c r="L56" s="1">
        <v>117</v>
      </c>
      <c r="M56" s="1">
        <v>27</v>
      </c>
      <c r="N56" s="1">
        <v>19753.7736</v>
      </c>
      <c r="O56" s="1">
        <v>467</v>
      </c>
      <c r="P56" s="1">
        <v>0.15972022684310022</v>
      </c>
      <c r="Q56" s="1">
        <v>37.142857142857146</v>
      </c>
      <c r="R56" s="1">
        <v>869747457.85182524</v>
      </c>
      <c r="S56" s="1">
        <v>103670455.84165807</v>
      </c>
      <c r="T56" s="1">
        <v>209.83191686635055</v>
      </c>
      <c r="U56" s="1">
        <v>72.444007704333316</v>
      </c>
      <c r="V56" s="1">
        <v>3549989.6238850011</v>
      </c>
      <c r="W56" s="1">
        <v>691136.37227772048</v>
      </c>
      <c r="X56" s="1">
        <v>3948855.7386679105</v>
      </c>
      <c r="Y56" s="1">
        <v>1058512.6421320897</v>
      </c>
      <c r="Z56" s="1">
        <v>3179593.3737680349</v>
      </c>
      <c r="AA56" s="1">
        <v>5643052875000</v>
      </c>
      <c r="AB56" s="1">
        <v>82.576677457638581</v>
      </c>
      <c r="AC56" s="1">
        <v>0</v>
      </c>
    </row>
    <row r="57" spans="1:29">
      <c r="A57" s="1">
        <v>54</v>
      </c>
      <c r="B57" s="1" t="s">
        <v>490</v>
      </c>
      <c r="C57" s="1">
        <v>23863.7736</v>
      </c>
      <c r="D57" s="1">
        <v>500</v>
      </c>
      <c r="E57" s="1">
        <v>14.5</v>
      </c>
      <c r="F57" s="1">
        <v>300</v>
      </c>
      <c r="G57" s="1">
        <v>28</v>
      </c>
      <c r="H57" s="1">
        <v>55</v>
      </c>
      <c r="I57" s="1">
        <v>55</v>
      </c>
      <c r="J57" s="1">
        <v>34.25</v>
      </c>
      <c r="K57" s="1">
        <v>390</v>
      </c>
      <c r="L57" s="1">
        <v>115.75</v>
      </c>
      <c r="M57" s="1">
        <v>27</v>
      </c>
      <c r="N57" s="1">
        <v>23863.7736</v>
      </c>
      <c r="O57" s="1">
        <v>472</v>
      </c>
      <c r="P57" s="1">
        <v>0.14043383290816328</v>
      </c>
      <c r="Q57" s="1">
        <v>42.305640243902438</v>
      </c>
      <c r="R57" s="1">
        <v>1071757537.8518252</v>
      </c>
      <c r="S57" s="1">
        <v>126239118.34323831</v>
      </c>
      <c r="T57" s="1">
        <v>211.92330255017634</v>
      </c>
      <c r="U57" s="1">
        <v>72.732315893727588</v>
      </c>
      <c r="V57" s="1">
        <v>4287030.1514073005</v>
      </c>
      <c r="W57" s="1">
        <v>841594.12228825537</v>
      </c>
      <c r="X57" s="1">
        <v>4814565.73866791</v>
      </c>
      <c r="Y57" s="1">
        <v>1291648.6091320897</v>
      </c>
      <c r="Z57" s="1">
        <v>5483134.9978378322</v>
      </c>
      <c r="AA57" s="1">
        <v>7017696000000</v>
      </c>
      <c r="AB57" s="1">
        <v>83.363263662324272</v>
      </c>
      <c r="AC57" s="1">
        <v>0</v>
      </c>
    </row>
    <row r="58" spans="1:29">
      <c r="A58" s="1">
        <v>55</v>
      </c>
      <c r="B58" s="1" t="s">
        <v>491</v>
      </c>
      <c r="C58" s="1">
        <v>21175.7736</v>
      </c>
      <c r="D58" s="1">
        <v>540</v>
      </c>
      <c r="E58" s="1">
        <v>12.5</v>
      </c>
      <c r="F58" s="1">
        <v>300</v>
      </c>
      <c r="G58" s="1">
        <v>24</v>
      </c>
      <c r="H58" s="1">
        <v>51</v>
      </c>
      <c r="I58" s="1">
        <v>55</v>
      </c>
      <c r="J58" s="1">
        <v>33.25</v>
      </c>
      <c r="K58" s="1">
        <v>430</v>
      </c>
      <c r="L58" s="1">
        <v>116.75</v>
      </c>
      <c r="M58" s="1">
        <v>27</v>
      </c>
      <c r="N58" s="1">
        <v>21175.7736</v>
      </c>
      <c r="O58" s="1">
        <v>516</v>
      </c>
      <c r="P58" s="1">
        <v>0.15523285590277777</v>
      </c>
      <c r="Q58" s="1">
        <v>38.173878205128204</v>
      </c>
      <c r="R58" s="1">
        <v>1119321810.901485</v>
      </c>
      <c r="S58" s="1">
        <v>108190401.39857413</v>
      </c>
      <c r="T58" s="1">
        <v>229.90998900741937</v>
      </c>
      <c r="U58" s="1">
        <v>71.478383701782093</v>
      </c>
      <c r="V58" s="1">
        <v>4145636.3366721664</v>
      </c>
      <c r="W58" s="1">
        <v>721269.34265716083</v>
      </c>
      <c r="X58" s="1">
        <v>4621816.3050679108</v>
      </c>
      <c r="Y58" s="1">
        <v>1106903.8355320897</v>
      </c>
      <c r="Z58" s="1">
        <v>3605060.0546495463</v>
      </c>
      <c r="AA58" s="1">
        <v>7188912000000</v>
      </c>
      <c r="AB58" s="1">
        <v>82.055674149104917</v>
      </c>
      <c r="AC58" s="1">
        <v>0</v>
      </c>
    </row>
    <row r="59" spans="1:29">
      <c r="A59" s="1">
        <v>56</v>
      </c>
      <c r="B59" s="1" t="s">
        <v>492</v>
      </c>
      <c r="C59" s="1">
        <v>25405.7736</v>
      </c>
      <c r="D59" s="1">
        <v>550</v>
      </c>
      <c r="E59" s="1">
        <v>15</v>
      </c>
      <c r="F59" s="1">
        <v>300</v>
      </c>
      <c r="G59" s="1">
        <v>29</v>
      </c>
      <c r="H59" s="1">
        <v>56</v>
      </c>
      <c r="I59" s="1">
        <v>60</v>
      </c>
      <c r="J59" s="1">
        <v>34.5</v>
      </c>
      <c r="K59" s="1">
        <v>430</v>
      </c>
      <c r="L59" s="1">
        <v>115.5</v>
      </c>
      <c r="M59" s="1">
        <v>27</v>
      </c>
      <c r="N59" s="1">
        <v>25405.7736</v>
      </c>
      <c r="O59" s="1">
        <v>521</v>
      </c>
      <c r="P59" s="1">
        <v>0.1373614744351962</v>
      </c>
      <c r="Q59" s="1">
        <v>43.340361445783131</v>
      </c>
      <c r="R59" s="1">
        <v>1366908370.901485</v>
      </c>
      <c r="S59" s="1">
        <v>130768888.75865434</v>
      </c>
      <c r="T59" s="1">
        <v>231.95486711010579</v>
      </c>
      <c r="U59" s="1">
        <v>71.744069089732648</v>
      </c>
      <c r="V59" s="1">
        <v>4970575.8941872185</v>
      </c>
      <c r="W59" s="1">
        <v>871792.59172436222</v>
      </c>
      <c r="X59" s="1">
        <v>5590606.3050679108</v>
      </c>
      <c r="Y59" s="1">
        <v>1341142.3025320896</v>
      </c>
      <c r="Z59" s="1">
        <v>6103557.2515491601</v>
      </c>
      <c r="AA59" s="1">
        <v>8855762625000</v>
      </c>
      <c r="AB59" s="1">
        <v>82.78520447096696</v>
      </c>
      <c r="AC59" s="1">
        <v>0</v>
      </c>
    </row>
    <row r="60" spans="1:29">
      <c r="A60" s="1">
        <v>57</v>
      </c>
      <c r="B60" s="1" t="s">
        <v>493</v>
      </c>
      <c r="C60" s="1">
        <v>22645.7736</v>
      </c>
      <c r="D60" s="1">
        <v>590</v>
      </c>
      <c r="E60" s="1">
        <v>13</v>
      </c>
      <c r="F60" s="1">
        <v>300</v>
      </c>
      <c r="G60" s="1">
        <v>25</v>
      </c>
      <c r="H60" s="1">
        <v>52</v>
      </c>
      <c r="I60" s="1">
        <v>55</v>
      </c>
      <c r="J60" s="1">
        <v>33.5</v>
      </c>
      <c r="K60" s="1">
        <v>480</v>
      </c>
      <c r="L60" s="1">
        <v>116.5</v>
      </c>
      <c r="M60" s="1">
        <v>27</v>
      </c>
      <c r="N60" s="1">
        <v>22645.7736</v>
      </c>
      <c r="O60" s="1">
        <v>565</v>
      </c>
      <c r="P60" s="1">
        <v>0.1510976</v>
      </c>
      <c r="Q60" s="1">
        <v>39.205696202531648</v>
      </c>
      <c r="R60" s="1">
        <v>1412080639.1383445</v>
      </c>
      <c r="S60" s="1">
        <v>112713069.92719017</v>
      </c>
      <c r="T60" s="1">
        <v>249.71013455647312</v>
      </c>
      <c r="U60" s="1">
        <v>70.549438042377247</v>
      </c>
      <c r="V60" s="1">
        <v>4786714.0309774391</v>
      </c>
      <c r="W60" s="1">
        <v>751420.46618126775</v>
      </c>
      <c r="X60" s="1">
        <v>5350384.8714679107</v>
      </c>
      <c r="Y60" s="1">
        <v>1155656.5289320897</v>
      </c>
      <c r="Z60" s="1">
        <v>4070374.5352755319</v>
      </c>
      <c r="AA60" s="1">
        <v>8978203125000</v>
      </c>
      <c r="AB60" s="1">
        <v>81.560076442210232</v>
      </c>
      <c r="AC60" s="1">
        <v>0</v>
      </c>
    </row>
    <row r="61" spans="1:29">
      <c r="A61" s="1">
        <v>58</v>
      </c>
      <c r="B61" s="1" t="s">
        <v>494</v>
      </c>
      <c r="C61" s="1">
        <v>26995.7736</v>
      </c>
      <c r="D61" s="1">
        <v>600</v>
      </c>
      <c r="E61" s="1">
        <v>15.5</v>
      </c>
      <c r="F61" s="1">
        <v>300</v>
      </c>
      <c r="G61" s="1">
        <v>30</v>
      </c>
      <c r="H61" s="1">
        <v>57</v>
      </c>
      <c r="I61" s="1">
        <v>60</v>
      </c>
      <c r="J61" s="1">
        <v>34.75</v>
      </c>
      <c r="K61" s="1">
        <v>480</v>
      </c>
      <c r="L61" s="1">
        <v>115.25</v>
      </c>
      <c r="M61" s="1">
        <v>27</v>
      </c>
      <c r="N61" s="1">
        <v>26995.7736</v>
      </c>
      <c r="O61" s="1">
        <v>570</v>
      </c>
      <c r="P61" s="1">
        <v>0.13449069444444445</v>
      </c>
      <c r="Q61" s="1">
        <v>44.375744047619051</v>
      </c>
      <c r="R61" s="1">
        <v>1710410639.1383445</v>
      </c>
      <c r="S61" s="1">
        <v>135302360.89577037</v>
      </c>
      <c r="T61" s="1">
        <v>251.71106432024848</v>
      </c>
      <c r="U61" s="1">
        <v>70.79536068214874</v>
      </c>
      <c r="V61" s="1">
        <v>5701368.797127815</v>
      </c>
      <c r="W61" s="1">
        <v>902015.73930513579</v>
      </c>
      <c r="X61" s="1">
        <v>6425134.8714679107</v>
      </c>
      <c r="Y61" s="1">
        <v>1391057.4959320896</v>
      </c>
      <c r="Z61" s="1">
        <v>6773146.7700408287</v>
      </c>
      <c r="AA61" s="1">
        <v>10965375000000</v>
      </c>
      <c r="AB61" s="1">
        <v>82.240463644168472</v>
      </c>
      <c r="AC61" s="1">
        <v>0</v>
      </c>
    </row>
    <row r="62" spans="1:29">
      <c r="A62" s="1">
        <v>59</v>
      </c>
      <c r="B62" s="1" t="s">
        <v>495</v>
      </c>
      <c r="C62" s="1">
        <v>24163.7736</v>
      </c>
      <c r="D62" s="1">
        <v>640</v>
      </c>
      <c r="E62" s="1">
        <v>13.5</v>
      </c>
      <c r="F62" s="1">
        <v>300</v>
      </c>
      <c r="G62" s="1">
        <v>26</v>
      </c>
      <c r="H62" s="1">
        <v>53</v>
      </c>
      <c r="I62" s="1">
        <v>55</v>
      </c>
      <c r="J62" s="1">
        <v>33.75</v>
      </c>
      <c r="K62" s="1">
        <v>530</v>
      </c>
      <c r="L62" s="1">
        <v>116.25</v>
      </c>
      <c r="M62" s="1">
        <v>27</v>
      </c>
      <c r="N62" s="1">
        <v>24163.7736</v>
      </c>
      <c r="O62" s="1">
        <v>614</v>
      </c>
      <c r="P62" s="1">
        <v>0.14727459319526628</v>
      </c>
      <c r="Q62" s="1">
        <v>40.23828125</v>
      </c>
      <c r="R62" s="1">
        <v>1751781814.5624044</v>
      </c>
      <c r="S62" s="1">
        <v>117238723.17750621</v>
      </c>
      <c r="T62" s="1">
        <v>269.25118775326752</v>
      </c>
      <c r="U62" s="1">
        <v>69.655138643307581</v>
      </c>
      <c r="V62" s="1">
        <v>5474318.1705075139</v>
      </c>
      <c r="W62" s="1">
        <v>781591.48785004136</v>
      </c>
      <c r="X62" s="1">
        <v>6136289.4378679106</v>
      </c>
      <c r="Y62" s="1">
        <v>1204788.7223320897</v>
      </c>
      <c r="Z62" s="1">
        <v>4577678.1855196105</v>
      </c>
      <c r="AA62" s="1">
        <v>11027133000000</v>
      </c>
      <c r="AB62" s="1">
        <v>81.084848593148394</v>
      </c>
      <c r="AC62" s="1">
        <v>0</v>
      </c>
    </row>
    <row r="63" spans="1:29">
      <c r="A63" s="1">
        <v>60</v>
      </c>
      <c r="B63" s="1" t="s">
        <v>496</v>
      </c>
      <c r="C63" s="1">
        <v>28633.7736</v>
      </c>
      <c r="D63" s="1">
        <v>650</v>
      </c>
      <c r="E63" s="1">
        <v>16</v>
      </c>
      <c r="F63" s="1">
        <v>300</v>
      </c>
      <c r="G63" s="1">
        <v>31</v>
      </c>
      <c r="H63" s="1">
        <v>58</v>
      </c>
      <c r="I63" s="1">
        <v>60</v>
      </c>
      <c r="J63" s="1">
        <v>35</v>
      </c>
      <c r="K63" s="1">
        <v>530</v>
      </c>
      <c r="L63" s="1">
        <v>115</v>
      </c>
      <c r="M63" s="1">
        <v>27</v>
      </c>
      <c r="N63" s="1">
        <v>28633.7736</v>
      </c>
      <c r="O63" s="1">
        <v>619</v>
      </c>
      <c r="P63" s="1">
        <v>0.13180228928199794</v>
      </c>
      <c r="Q63" s="1">
        <v>45.411764705882355</v>
      </c>
      <c r="R63" s="1">
        <v>2106160454.5624044</v>
      </c>
      <c r="S63" s="1">
        <v>139839841.50458643</v>
      </c>
      <c r="T63" s="1">
        <v>271.21045898488603</v>
      </c>
      <c r="U63" s="1">
        <v>69.883744645602064</v>
      </c>
      <c r="V63" s="1">
        <v>6480493.7063458599</v>
      </c>
      <c r="W63" s="1">
        <v>932265.61003057624</v>
      </c>
      <c r="X63" s="1">
        <v>7319879.4378679106</v>
      </c>
      <c r="Y63" s="1">
        <v>1441412.1893320896</v>
      </c>
      <c r="Z63" s="1">
        <v>7494191.0057462044</v>
      </c>
      <c r="AA63" s="1">
        <v>13362739875000</v>
      </c>
      <c r="AB63" s="1">
        <v>81.722518404622392</v>
      </c>
      <c r="AC63" s="1">
        <v>0</v>
      </c>
    </row>
    <row r="64" spans="1:29">
      <c r="A64" s="1">
        <v>61</v>
      </c>
      <c r="B64" s="1" t="s">
        <v>497</v>
      </c>
      <c r="C64" s="1">
        <v>26047.7736</v>
      </c>
      <c r="D64" s="1">
        <v>690</v>
      </c>
      <c r="E64" s="1">
        <v>14.5</v>
      </c>
      <c r="F64" s="1">
        <v>300</v>
      </c>
      <c r="G64" s="1">
        <v>27</v>
      </c>
      <c r="H64" s="1">
        <v>54</v>
      </c>
      <c r="I64" s="1">
        <v>55</v>
      </c>
      <c r="J64" s="1">
        <v>34.25</v>
      </c>
      <c r="K64" s="1">
        <v>580</v>
      </c>
      <c r="L64" s="1">
        <v>115.75</v>
      </c>
      <c r="M64" s="1">
        <v>27</v>
      </c>
      <c r="N64" s="1">
        <v>26047.7736</v>
      </c>
      <c r="O64" s="1">
        <v>663</v>
      </c>
      <c r="P64" s="1">
        <v>0.14478480795610427</v>
      </c>
      <c r="Q64" s="1">
        <v>41.482253086419753</v>
      </c>
      <c r="R64" s="1">
        <v>2153012945.1736641</v>
      </c>
      <c r="S64" s="1">
        <v>121787896.34323831</v>
      </c>
      <c r="T64" s="1">
        <v>287.50011073621675</v>
      </c>
      <c r="U64" s="1">
        <v>68.378057678416553</v>
      </c>
      <c r="V64" s="1">
        <v>6240617.2323874319</v>
      </c>
      <c r="W64" s="1">
        <v>811919.30895492202</v>
      </c>
      <c r="X64" s="1">
        <v>7031820.0042679105</v>
      </c>
      <c r="Y64" s="1">
        <v>1256740.6091320897</v>
      </c>
      <c r="Z64" s="1">
        <v>5217140.5113954116</v>
      </c>
      <c r="AA64" s="1">
        <v>13351908375000</v>
      </c>
      <c r="AB64" s="1">
        <v>80.432220380723479</v>
      </c>
      <c r="AC64" s="1">
        <v>0</v>
      </c>
    </row>
    <row r="65" spans="1:29">
      <c r="A65" s="1">
        <v>62</v>
      </c>
      <c r="B65" s="1" t="s">
        <v>498</v>
      </c>
      <c r="C65" s="1">
        <v>30637.7736</v>
      </c>
      <c r="D65" s="1">
        <v>700</v>
      </c>
      <c r="E65" s="1">
        <v>17</v>
      </c>
      <c r="F65" s="1">
        <v>300</v>
      </c>
      <c r="G65" s="1">
        <v>32</v>
      </c>
      <c r="H65" s="1">
        <v>59</v>
      </c>
      <c r="I65" s="1">
        <v>60</v>
      </c>
      <c r="J65" s="1">
        <v>35.5</v>
      </c>
      <c r="K65" s="1">
        <v>580</v>
      </c>
      <c r="L65" s="1">
        <v>114.5</v>
      </c>
      <c r="M65" s="1">
        <v>27</v>
      </c>
      <c r="N65" s="1">
        <v>30637.7736</v>
      </c>
      <c r="O65" s="1">
        <v>668</v>
      </c>
      <c r="P65" s="1">
        <v>0.13039062500000001</v>
      </c>
      <c r="Q65" s="1">
        <v>46.654069767441861</v>
      </c>
      <c r="R65" s="1">
        <v>2568883665.1736641</v>
      </c>
      <c r="S65" s="1">
        <v>144408463.13731852</v>
      </c>
      <c r="T65" s="1">
        <v>289.56336660052364</v>
      </c>
      <c r="U65" s="1">
        <v>68.654296568362241</v>
      </c>
      <c r="V65" s="1">
        <v>7339667.6147818975</v>
      </c>
      <c r="W65" s="1">
        <v>962723.08758212347</v>
      </c>
      <c r="X65" s="1">
        <v>8327130.0042679105</v>
      </c>
      <c r="Y65" s="1">
        <v>1495044.0761320896</v>
      </c>
      <c r="Z65" s="1">
        <v>8390230.612758182</v>
      </c>
      <c r="AA65" s="1">
        <v>16064064000000</v>
      </c>
      <c r="AB65" s="1">
        <v>81.064621637563434</v>
      </c>
      <c r="AC65" s="1">
        <v>0</v>
      </c>
    </row>
    <row r="66" spans="1:29">
      <c r="A66" s="1">
        <v>63</v>
      </c>
      <c r="B66" s="1" t="s">
        <v>499</v>
      </c>
      <c r="C66" s="1">
        <v>28582.560000000001</v>
      </c>
      <c r="D66" s="1">
        <v>790</v>
      </c>
      <c r="E66" s="1">
        <v>15</v>
      </c>
      <c r="F66" s="1">
        <v>300</v>
      </c>
      <c r="G66" s="1">
        <v>28</v>
      </c>
      <c r="H66" s="1">
        <v>58</v>
      </c>
      <c r="I66" s="1">
        <v>60</v>
      </c>
      <c r="J66" s="1">
        <v>37.5</v>
      </c>
      <c r="K66" s="1">
        <v>670</v>
      </c>
      <c r="L66" s="1">
        <v>112.5</v>
      </c>
      <c r="M66" s="1">
        <v>30</v>
      </c>
      <c r="N66" s="1">
        <v>28582.560000000001</v>
      </c>
      <c r="O66" s="1">
        <v>762</v>
      </c>
      <c r="P66" s="1">
        <v>0.15111543367346936</v>
      </c>
      <c r="Q66" s="1">
        <v>43.980113636363633</v>
      </c>
      <c r="R66" s="1">
        <v>3034425469.5162301</v>
      </c>
      <c r="S66" s="1">
        <v>126386539.31756777</v>
      </c>
      <c r="T66" s="1">
        <v>325.82745452421995</v>
      </c>
      <c r="U66" s="1">
        <v>66.496662626349561</v>
      </c>
      <c r="V66" s="1">
        <v>7682089.7962436201</v>
      </c>
      <c r="W66" s="1">
        <v>842576.92878378509</v>
      </c>
      <c r="X66" s="1">
        <v>8699487.5645375997</v>
      </c>
      <c r="Y66" s="1">
        <v>1312258.6554624001</v>
      </c>
      <c r="Z66" s="1">
        <v>6088738.2565772142</v>
      </c>
      <c r="AA66" s="1">
        <v>18290286000000</v>
      </c>
      <c r="AB66" s="1">
        <v>79.172290462032095</v>
      </c>
      <c r="AC66" s="1">
        <v>0</v>
      </c>
    </row>
    <row r="67" spans="1:29">
      <c r="A67" s="1">
        <v>64</v>
      </c>
      <c r="B67" s="1" t="s">
        <v>500</v>
      </c>
      <c r="C67" s="1">
        <v>33417.56</v>
      </c>
      <c r="D67" s="1">
        <v>800</v>
      </c>
      <c r="E67" s="1">
        <v>17.5</v>
      </c>
      <c r="F67" s="1">
        <v>300</v>
      </c>
      <c r="G67" s="1">
        <v>33</v>
      </c>
      <c r="H67" s="1">
        <v>63</v>
      </c>
      <c r="I67" s="1">
        <v>65</v>
      </c>
      <c r="J67" s="1">
        <v>38.75</v>
      </c>
      <c r="K67" s="1">
        <v>670</v>
      </c>
      <c r="L67" s="1">
        <v>111.25</v>
      </c>
      <c r="M67" s="1">
        <v>30</v>
      </c>
      <c r="N67" s="1">
        <v>33417.56</v>
      </c>
      <c r="O67" s="1">
        <v>767</v>
      </c>
      <c r="P67" s="1">
        <v>0.13621338383838386</v>
      </c>
      <c r="Q67" s="1">
        <v>49.145833333333336</v>
      </c>
      <c r="R67" s="1">
        <v>3590835241.1828966</v>
      </c>
      <c r="S67" s="1">
        <v>149036551.93539041</v>
      </c>
      <c r="T67" s="1">
        <v>327.80107324635804</v>
      </c>
      <c r="U67" s="1">
        <v>66.781939669498755</v>
      </c>
      <c r="V67" s="1">
        <v>8977088.1029572412</v>
      </c>
      <c r="W67" s="1">
        <v>993577.01290260279</v>
      </c>
      <c r="X67" s="1">
        <v>10228710.0645376</v>
      </c>
      <c r="Y67" s="1">
        <v>1553133.7304624</v>
      </c>
      <c r="Z67" s="1">
        <v>9589839.5937138833</v>
      </c>
      <c r="AA67" s="1">
        <v>21840229125000</v>
      </c>
      <c r="AB67" s="1">
        <v>79.792365010863051</v>
      </c>
      <c r="AC67" s="1">
        <v>0</v>
      </c>
    </row>
    <row r="68" spans="1:29">
      <c r="A68" s="1">
        <v>65</v>
      </c>
      <c r="B68" s="1" t="s">
        <v>501</v>
      </c>
      <c r="C68" s="1">
        <v>33712.559999999998</v>
      </c>
      <c r="D68" s="1">
        <v>890</v>
      </c>
      <c r="E68" s="1">
        <v>18</v>
      </c>
      <c r="F68" s="1">
        <v>300</v>
      </c>
      <c r="G68" s="1">
        <v>30</v>
      </c>
      <c r="H68" s="1">
        <v>60</v>
      </c>
      <c r="I68" s="1">
        <v>60</v>
      </c>
      <c r="J68" s="1">
        <v>39</v>
      </c>
      <c r="K68" s="1">
        <v>770</v>
      </c>
      <c r="L68" s="1">
        <v>111</v>
      </c>
      <c r="M68" s="1">
        <v>30</v>
      </c>
      <c r="N68" s="1">
        <v>33712.559999999998</v>
      </c>
      <c r="O68" s="1">
        <v>860</v>
      </c>
      <c r="P68" s="1">
        <v>0.14800000000000002</v>
      </c>
      <c r="Q68" s="1">
        <v>46.9</v>
      </c>
      <c r="R68" s="1">
        <v>4316046763.9518394</v>
      </c>
      <c r="S68" s="1">
        <v>135618133.54395497</v>
      </c>
      <c r="T68" s="1">
        <v>357.80565864350848</v>
      </c>
      <c r="U68" s="1">
        <v>63.425370864743186</v>
      </c>
      <c r="V68" s="1">
        <v>9698981.4920266047</v>
      </c>
      <c r="W68" s="1">
        <v>904120.8902930331</v>
      </c>
      <c r="X68" s="1">
        <v>11155485.444537601</v>
      </c>
      <c r="Y68" s="1">
        <v>1429359.9954623999</v>
      </c>
      <c r="Z68" s="1">
        <v>8105452.1090216003</v>
      </c>
      <c r="AA68" s="1">
        <v>24961500000000</v>
      </c>
      <c r="AB68" s="1">
        <v>77.540758336898762</v>
      </c>
      <c r="AC68" s="1">
        <v>0</v>
      </c>
    </row>
    <row r="69" spans="1:29">
      <c r="A69" s="1">
        <v>66</v>
      </c>
      <c r="B69" s="1" t="s">
        <v>502</v>
      </c>
      <c r="C69" s="1">
        <v>37127.56</v>
      </c>
      <c r="D69" s="1">
        <v>900</v>
      </c>
      <c r="E69" s="1">
        <v>18.5</v>
      </c>
      <c r="F69" s="1">
        <v>300</v>
      </c>
      <c r="G69" s="1">
        <v>35</v>
      </c>
      <c r="H69" s="1">
        <v>65</v>
      </c>
      <c r="I69" s="1">
        <v>65</v>
      </c>
      <c r="J69" s="1">
        <v>39.25</v>
      </c>
      <c r="K69" s="1">
        <v>770</v>
      </c>
      <c r="L69" s="1">
        <v>110.75</v>
      </c>
      <c r="M69" s="1">
        <v>30</v>
      </c>
      <c r="N69" s="1">
        <v>37127.56</v>
      </c>
      <c r="O69" s="1">
        <v>865</v>
      </c>
      <c r="P69" s="1">
        <v>0.13141173469387754</v>
      </c>
      <c r="Q69" s="1">
        <v>51.216447368421051</v>
      </c>
      <c r="R69" s="1">
        <v>4940646222.2851725</v>
      </c>
      <c r="S69" s="1">
        <v>158158804.22251952</v>
      </c>
      <c r="T69" s="1">
        <v>364.79062976934625</v>
      </c>
      <c r="U69" s="1">
        <v>65.26772606517163</v>
      </c>
      <c r="V69" s="1">
        <v>10979213.827300383</v>
      </c>
      <c r="W69" s="1">
        <v>1054392.0281501301</v>
      </c>
      <c r="X69" s="1">
        <v>12584097.944537601</v>
      </c>
      <c r="Y69" s="1">
        <v>1658340.0104624</v>
      </c>
      <c r="Z69" s="1">
        <v>11504918.091986898</v>
      </c>
      <c r="AA69" s="1">
        <v>29461359375000</v>
      </c>
      <c r="AB69" s="1">
        <v>78.932184185896944</v>
      </c>
      <c r="AC69" s="1">
        <v>0</v>
      </c>
    </row>
    <row r="70" spans="1:29">
      <c r="A70" s="1">
        <v>67</v>
      </c>
      <c r="B70" s="1" t="s">
        <v>503</v>
      </c>
      <c r="C70" s="1">
        <v>34684.559999999998</v>
      </c>
      <c r="D70" s="1">
        <v>990</v>
      </c>
      <c r="E70" s="1">
        <v>16.5</v>
      </c>
      <c r="F70" s="1">
        <v>300</v>
      </c>
      <c r="G70" s="1">
        <v>31</v>
      </c>
      <c r="H70" s="1">
        <v>61</v>
      </c>
      <c r="I70" s="1">
        <v>65</v>
      </c>
      <c r="J70" s="1">
        <v>38.25</v>
      </c>
      <c r="K70" s="1">
        <v>860</v>
      </c>
      <c r="L70" s="1">
        <v>111.75</v>
      </c>
      <c r="M70" s="1">
        <v>30</v>
      </c>
      <c r="N70" s="1">
        <v>34684.559999999998</v>
      </c>
      <c r="O70" s="1">
        <v>959</v>
      </c>
      <c r="P70" s="1">
        <v>0.14161537460978146</v>
      </c>
      <c r="Q70" s="1">
        <v>47.077609890109891</v>
      </c>
      <c r="R70" s="1">
        <v>5538460838.0765247</v>
      </c>
      <c r="S70" s="1">
        <v>140044384.11576137</v>
      </c>
      <c r="T70" s="1">
        <v>399.60089277807515</v>
      </c>
      <c r="U70" s="1">
        <v>63.542566810696258</v>
      </c>
      <c r="V70" s="1">
        <v>11188809.773891969</v>
      </c>
      <c r="W70" s="1">
        <v>933629.22743840911</v>
      </c>
      <c r="X70" s="1">
        <v>12824374.8845376</v>
      </c>
      <c r="Y70" s="1">
        <v>1469712.5754624</v>
      </c>
      <c r="Z70" s="1">
        <v>8351112.265713498</v>
      </c>
      <c r="AA70" s="1">
        <v>32073874875000</v>
      </c>
      <c r="AB70" s="1">
        <v>77.470294978847519</v>
      </c>
      <c r="AC70" s="1">
        <v>0</v>
      </c>
    </row>
    <row r="71" spans="1:29">
      <c r="A71" s="1">
        <v>68</v>
      </c>
      <c r="B71" s="1" t="s">
        <v>504</v>
      </c>
      <c r="C71" s="1">
        <v>40004.559999999998</v>
      </c>
      <c r="D71" s="1">
        <v>1000</v>
      </c>
      <c r="E71" s="1">
        <v>19</v>
      </c>
      <c r="F71" s="1">
        <v>300</v>
      </c>
      <c r="G71" s="1">
        <v>36</v>
      </c>
      <c r="H71" s="1">
        <v>66</v>
      </c>
      <c r="I71" s="1">
        <v>70</v>
      </c>
      <c r="J71" s="1">
        <v>39.5</v>
      </c>
      <c r="K71" s="1">
        <v>860</v>
      </c>
      <c r="L71" s="1">
        <v>110.5</v>
      </c>
      <c r="M71" s="1">
        <v>30</v>
      </c>
      <c r="N71" s="1">
        <v>40004.559999999998</v>
      </c>
      <c r="O71" s="1">
        <v>964</v>
      </c>
      <c r="P71" s="1">
        <v>0.12920563271604937</v>
      </c>
      <c r="Q71" s="1">
        <v>52.252604166666664</v>
      </c>
      <c r="R71" s="1">
        <v>6447481411.4098577</v>
      </c>
      <c r="S71" s="1">
        <v>162757506.01275072</v>
      </c>
      <c r="T71" s="1">
        <v>401.45816974844575</v>
      </c>
      <c r="U71" s="1">
        <v>63.784589395092276</v>
      </c>
      <c r="V71" s="1">
        <v>12894962.822819715</v>
      </c>
      <c r="W71" s="1">
        <v>1085050.0400850049</v>
      </c>
      <c r="X71" s="1">
        <v>14855114.8845376</v>
      </c>
      <c r="Y71" s="1">
        <v>1716268.2754623999</v>
      </c>
      <c r="Z71" s="1">
        <v>12673864.117624639</v>
      </c>
      <c r="AA71" s="1">
        <v>37636488000000</v>
      </c>
      <c r="AB71" s="1">
        <v>77.99809309221493</v>
      </c>
      <c r="AC71" s="1">
        <v>0</v>
      </c>
    </row>
    <row r="72" spans="1:29">
      <c r="A72" s="1">
        <v>69</v>
      </c>
      <c r="B72" s="1" t="s">
        <v>505</v>
      </c>
      <c r="C72" s="1">
        <v>37447.360000000001</v>
      </c>
      <c r="D72" s="1">
        <v>1090</v>
      </c>
      <c r="E72" s="1">
        <v>18</v>
      </c>
      <c r="F72" s="1">
        <v>300</v>
      </c>
      <c r="G72" s="1">
        <v>31</v>
      </c>
      <c r="H72" s="1">
        <v>51</v>
      </c>
      <c r="I72" s="1">
        <v>55</v>
      </c>
      <c r="J72" s="1">
        <v>29</v>
      </c>
      <c r="K72" s="1">
        <v>980</v>
      </c>
      <c r="L72" s="1">
        <v>121</v>
      </c>
      <c r="M72" s="1">
        <v>20</v>
      </c>
      <c r="N72" s="1">
        <v>37447.360000000001</v>
      </c>
      <c r="O72" s="1">
        <v>1059</v>
      </c>
      <c r="P72" s="1">
        <v>0.11663683662851197</v>
      </c>
      <c r="Q72" s="1">
        <v>42.845070422535208</v>
      </c>
      <c r="R72" s="1">
        <v>6935086256.8143425</v>
      </c>
      <c r="S72" s="1">
        <v>140066683.1295045</v>
      </c>
      <c r="T72" s="1">
        <v>430.34358221100661</v>
      </c>
      <c r="U72" s="1">
        <v>61.158499171968622</v>
      </c>
      <c r="V72" s="1">
        <v>12724928.911585949</v>
      </c>
      <c r="W72" s="1">
        <v>933777.88753002998</v>
      </c>
      <c r="X72" s="1">
        <v>14779181.127270401</v>
      </c>
      <c r="Y72" s="1">
        <v>1482892.1527296</v>
      </c>
      <c r="Z72" s="1">
        <v>8354837.5697720964</v>
      </c>
      <c r="AA72" s="1">
        <v>39111649875000</v>
      </c>
      <c r="AB72" s="1">
        <v>76.343615234268583</v>
      </c>
      <c r="AC72" s="1">
        <v>0</v>
      </c>
    </row>
    <row r="73" spans="1:29">
      <c r="A73" s="1">
        <v>70</v>
      </c>
      <c r="B73" s="1" t="s">
        <v>506</v>
      </c>
      <c r="C73" s="1">
        <v>42503.360000000001</v>
      </c>
      <c r="D73" s="1">
        <v>1100</v>
      </c>
      <c r="E73" s="1">
        <v>20</v>
      </c>
      <c r="F73" s="1">
        <v>300</v>
      </c>
      <c r="G73" s="1">
        <v>36</v>
      </c>
      <c r="H73" s="1">
        <v>56</v>
      </c>
      <c r="I73" s="1">
        <v>60</v>
      </c>
      <c r="J73" s="1">
        <v>30</v>
      </c>
      <c r="K73" s="1">
        <v>980</v>
      </c>
      <c r="L73" s="1">
        <v>120</v>
      </c>
      <c r="M73" s="1">
        <v>20</v>
      </c>
      <c r="N73" s="1">
        <v>42503.360000000001</v>
      </c>
      <c r="O73" s="1">
        <v>1064</v>
      </c>
      <c r="P73" s="1">
        <v>0.1067037037037037</v>
      </c>
      <c r="Q73" s="1">
        <v>47.842105263157897</v>
      </c>
      <c r="R73" s="1">
        <v>8015423582.1476755</v>
      </c>
      <c r="S73" s="1">
        <v>162762000.12829706</v>
      </c>
      <c r="T73" s="1">
        <v>434.2617790683675</v>
      </c>
      <c r="U73" s="1">
        <v>61.882076350822224</v>
      </c>
      <c r="V73" s="1">
        <v>14573497.422086682</v>
      </c>
      <c r="W73" s="1">
        <v>1085080.0008553138</v>
      </c>
      <c r="X73" s="1">
        <v>16950073.127270401</v>
      </c>
      <c r="Y73" s="1">
        <v>1727767.5127296001</v>
      </c>
      <c r="Z73" s="1">
        <v>12485117.306733215</v>
      </c>
      <c r="AA73" s="1">
        <v>45849888000000</v>
      </c>
      <c r="AB73" s="1">
        <v>77.081548553877766</v>
      </c>
      <c r="AC73" s="1">
        <v>0</v>
      </c>
    </row>
    <row r="74" spans="1:29">
      <c r="A74" s="1">
        <v>71</v>
      </c>
      <c r="B74" s="1" t="s">
        <v>507</v>
      </c>
      <c r="C74" s="1">
        <v>1622.6096579999999</v>
      </c>
      <c r="D74" s="1">
        <v>148.08199999999999</v>
      </c>
      <c r="E74" s="1">
        <v>4.3180000000000005</v>
      </c>
      <c r="F74" s="1">
        <v>100.07599999999999</v>
      </c>
      <c r="G74" s="1">
        <v>4.9530000000000003</v>
      </c>
      <c r="H74" s="1">
        <v>11.303000000000001</v>
      </c>
      <c r="I74" s="1">
        <v>17.462499999999999</v>
      </c>
      <c r="J74" s="1">
        <v>12.7</v>
      </c>
      <c r="K74" s="1">
        <v>113.157</v>
      </c>
      <c r="L74" s="1">
        <v>37.337999999999994</v>
      </c>
      <c r="M74" s="1">
        <v>6.3500000000000005</v>
      </c>
      <c r="N74" s="1">
        <v>1622.6096579999999</v>
      </c>
      <c r="O74" s="1">
        <v>143.12899999999999</v>
      </c>
      <c r="P74" s="1">
        <v>0.17237212360289283</v>
      </c>
      <c r="Q74" s="1">
        <v>9.0544604316546771</v>
      </c>
      <c r="R74" s="1">
        <v>6187055.9654432405</v>
      </c>
      <c r="S74" s="1">
        <v>828802.35417775949</v>
      </c>
      <c r="T74" s="1">
        <v>61.749720180149346</v>
      </c>
      <c r="U74" s="1">
        <v>22.600521458906524</v>
      </c>
      <c r="V74" s="1">
        <v>83562.566219300672</v>
      </c>
      <c r="W74" s="1">
        <v>16563.458854825523</v>
      </c>
      <c r="X74" s="1">
        <v>93898.377782339798</v>
      </c>
      <c r="Y74" s="1">
        <v>25570.557763182191</v>
      </c>
      <c r="Z74" s="1">
        <v>13879.204056290568</v>
      </c>
      <c r="AA74" s="1">
        <v>4237426474.252584</v>
      </c>
      <c r="AB74" s="1">
        <v>26.642098172622745</v>
      </c>
      <c r="AC74" s="1">
        <v>0</v>
      </c>
    </row>
    <row r="75" spans="1:29">
      <c r="A75" s="1">
        <v>72</v>
      </c>
      <c r="B75" s="1" t="s">
        <v>508</v>
      </c>
      <c r="C75" s="1">
        <v>2855.8329979999999</v>
      </c>
      <c r="D75" s="1">
        <v>152.14599999999999</v>
      </c>
      <c r="E75" s="1">
        <v>5.8419999999999996</v>
      </c>
      <c r="F75" s="1">
        <v>152.14599999999999</v>
      </c>
      <c r="G75" s="1">
        <v>6.6040000000000001</v>
      </c>
      <c r="H75" s="1">
        <v>12.954000000000001</v>
      </c>
      <c r="I75" s="1">
        <v>19.049999999999997</v>
      </c>
      <c r="J75" s="1">
        <v>14.2875</v>
      </c>
      <c r="K75" s="1">
        <v>114.04599999999999</v>
      </c>
      <c r="L75" s="1">
        <v>61.785499999999992</v>
      </c>
      <c r="M75" s="1">
        <v>6.3500000000000005</v>
      </c>
      <c r="N75" s="1">
        <v>2855.8329979999999</v>
      </c>
      <c r="O75" s="1">
        <v>145.54199999999997</v>
      </c>
      <c r="P75" s="1">
        <v>0.15307396449704141</v>
      </c>
      <c r="Q75" s="1">
        <v>11.056519736842104</v>
      </c>
      <c r="R75" s="1">
        <v>12115120.662152922</v>
      </c>
      <c r="S75" s="1">
        <v>3879487.9784807204</v>
      </c>
      <c r="T75" s="1">
        <v>65.132458024522819</v>
      </c>
      <c r="U75" s="1">
        <v>36.857069496565899</v>
      </c>
      <c r="V75" s="1">
        <v>159256.5123256993</v>
      </c>
      <c r="W75" s="1">
        <v>50996.910579058545</v>
      </c>
      <c r="X75" s="1">
        <v>176785.13071817977</v>
      </c>
      <c r="Y75" s="1">
        <v>77771.685328460182</v>
      </c>
      <c r="Z75" s="1">
        <v>42224.122536816947</v>
      </c>
      <c r="AA75" s="1">
        <v>20528353471.556324</v>
      </c>
      <c r="AB75" s="1">
        <v>42.103458974387522</v>
      </c>
      <c r="AC75" s="1">
        <v>0</v>
      </c>
    </row>
    <row r="76" spans="1:29">
      <c r="A76" s="1">
        <v>73</v>
      </c>
      <c r="B76" s="1" t="s">
        <v>509</v>
      </c>
      <c r="C76" s="1">
        <v>3787.3795219999993</v>
      </c>
      <c r="D76" s="1">
        <v>157.47999999999999</v>
      </c>
      <c r="E76" s="1">
        <v>6.6040000000000001</v>
      </c>
      <c r="F76" s="1">
        <v>152.90799999999999</v>
      </c>
      <c r="G76" s="1">
        <v>9.270999999999999</v>
      </c>
      <c r="H76" s="1">
        <v>15.620999999999999</v>
      </c>
      <c r="I76" s="1">
        <v>22.224999999999998</v>
      </c>
      <c r="J76" s="1">
        <v>14.2875</v>
      </c>
      <c r="K76" s="1">
        <v>113.03</v>
      </c>
      <c r="L76" s="1">
        <v>62.166499999999992</v>
      </c>
      <c r="M76" s="1">
        <v>6.35</v>
      </c>
      <c r="N76" s="1">
        <v>3787.3795219999993</v>
      </c>
      <c r="O76" s="1">
        <v>148.209</v>
      </c>
      <c r="P76" s="1">
        <v>0.12887258397447926</v>
      </c>
      <c r="Q76" s="1">
        <v>13.511184971098265</v>
      </c>
      <c r="R76" s="1">
        <v>17226199.211533897</v>
      </c>
      <c r="S76" s="1">
        <v>5528311.0081215734</v>
      </c>
      <c r="T76" s="1">
        <v>67.44120467539507</v>
      </c>
      <c r="U76" s="1">
        <v>38.20558204277156</v>
      </c>
      <c r="V76" s="1">
        <v>218773.16753281557</v>
      </c>
      <c r="W76" s="1">
        <v>72308.983285656388</v>
      </c>
      <c r="X76" s="1">
        <v>244328.51585694577</v>
      </c>
      <c r="Y76" s="1">
        <v>110060.21546094817</v>
      </c>
      <c r="Z76" s="1">
        <v>100055.96423588815</v>
      </c>
      <c r="AA76" s="1">
        <v>30335776570.708942</v>
      </c>
      <c r="AB76" s="1">
        <v>43.273447604431766</v>
      </c>
      <c r="AC76" s="1">
        <v>0</v>
      </c>
    </row>
    <row r="77" spans="1:29">
      <c r="A77" s="1">
        <v>74</v>
      </c>
      <c r="B77" s="1" t="s">
        <v>510</v>
      </c>
      <c r="C77" s="1">
        <v>1912.4194009600001</v>
      </c>
      <c r="D77" s="1">
        <v>200.40599999999998</v>
      </c>
      <c r="E77" s="1">
        <v>4.3180000000000005</v>
      </c>
      <c r="F77" s="1">
        <v>100.07599999999999</v>
      </c>
      <c r="G77" s="1">
        <v>5.206999999999999</v>
      </c>
      <c r="H77" s="1">
        <v>12.827</v>
      </c>
      <c r="I77" s="1">
        <v>17.462499999999999</v>
      </c>
      <c r="J77" s="1">
        <v>12.7</v>
      </c>
      <c r="K77" s="1">
        <v>165.48099999999999</v>
      </c>
      <c r="L77" s="1">
        <v>37.337999999999994</v>
      </c>
      <c r="M77" s="1">
        <v>7.620000000000001</v>
      </c>
      <c r="N77" s="1">
        <v>1912.4194009600001</v>
      </c>
      <c r="O77" s="1">
        <v>195.19899999999998</v>
      </c>
      <c r="P77" s="1">
        <v>0.18463295657346818</v>
      </c>
      <c r="Q77" s="1">
        <v>9.8839130434782607</v>
      </c>
      <c r="R77" s="1">
        <v>12831621.920780143</v>
      </c>
      <c r="S77" s="1">
        <v>871932.3666693347</v>
      </c>
      <c r="T77" s="1">
        <v>81.912316295852591</v>
      </c>
      <c r="U77" s="1">
        <v>21.352554016811382</v>
      </c>
      <c r="V77" s="1">
        <v>128056.264989872</v>
      </c>
      <c r="W77" s="1">
        <v>17425.404026326687</v>
      </c>
      <c r="X77" s="1">
        <v>145334.03540054464</v>
      </c>
      <c r="Y77" s="1">
        <v>27152.639354448129</v>
      </c>
      <c r="Z77" s="1">
        <v>17733.065395708458</v>
      </c>
      <c r="AA77" s="1">
        <v>8285549728.3265543</v>
      </c>
      <c r="AB77" s="1">
        <v>25.778923676593124</v>
      </c>
      <c r="AC77" s="1">
        <v>0</v>
      </c>
    </row>
    <row r="78" spans="1:29">
      <c r="A78" s="1">
        <v>75</v>
      </c>
      <c r="B78" s="1" t="s">
        <v>511</v>
      </c>
      <c r="C78" s="1">
        <v>2475.9021449599995</v>
      </c>
      <c r="D78" s="1">
        <v>202.946</v>
      </c>
      <c r="E78" s="1">
        <v>5.8419999999999996</v>
      </c>
      <c r="F78" s="1">
        <v>101.6</v>
      </c>
      <c r="G78" s="1">
        <v>6.4769999999999994</v>
      </c>
      <c r="H78" s="1">
        <v>14.097000000000001</v>
      </c>
      <c r="I78" s="1">
        <v>19.049999999999997</v>
      </c>
      <c r="J78" s="1">
        <v>14.2875</v>
      </c>
      <c r="K78" s="1">
        <v>164.846</v>
      </c>
      <c r="L78" s="1">
        <v>36.512499999999996</v>
      </c>
      <c r="M78" s="1">
        <v>7.6200000000000019</v>
      </c>
      <c r="N78" s="1">
        <v>2475.9021449599995</v>
      </c>
      <c r="O78" s="1">
        <v>196.46899999999999</v>
      </c>
      <c r="P78" s="1">
        <v>0.16566243752402926</v>
      </c>
      <c r="Q78" s="1">
        <v>11.593391812865498</v>
      </c>
      <c r="R78" s="1">
        <v>16477929.366030371</v>
      </c>
      <c r="S78" s="1">
        <v>1136472.6307365617</v>
      </c>
      <c r="T78" s="1">
        <v>81.580165195822929</v>
      </c>
      <c r="U78" s="1">
        <v>21.424601491777846</v>
      </c>
      <c r="V78" s="1">
        <v>162387.32831423503</v>
      </c>
      <c r="W78" s="1">
        <v>22371.508479066179</v>
      </c>
      <c r="X78" s="1">
        <v>186658.63023506064</v>
      </c>
      <c r="Y78" s="1">
        <v>35281.093079443657</v>
      </c>
      <c r="Z78" s="1">
        <v>36277.731702205907</v>
      </c>
      <c r="AA78" s="1">
        <v>10925261694.651461</v>
      </c>
      <c r="AB78" s="1">
        <v>26.220166296912247</v>
      </c>
      <c r="AC78" s="1">
        <v>0</v>
      </c>
    </row>
    <row r="79" spans="1:29">
      <c r="A79" s="1">
        <v>76</v>
      </c>
      <c r="B79" s="1" t="s">
        <v>512</v>
      </c>
      <c r="C79" s="1">
        <v>2866.0949129599994</v>
      </c>
      <c r="D79" s="1">
        <v>205.99399999999997</v>
      </c>
      <c r="E79" s="1">
        <v>6.2229999999999999</v>
      </c>
      <c r="F79" s="1">
        <v>102.10799999999999</v>
      </c>
      <c r="G79" s="1">
        <v>8.0009999999999994</v>
      </c>
      <c r="H79" s="1">
        <v>15.620999999999999</v>
      </c>
      <c r="I79" s="1">
        <v>20.637499999999999</v>
      </c>
      <c r="J79" s="1">
        <v>14.2875</v>
      </c>
      <c r="K79" s="1">
        <v>164.71899999999997</v>
      </c>
      <c r="L79" s="1">
        <v>36.766499999999994</v>
      </c>
      <c r="M79" s="1">
        <v>7.6199999999999992</v>
      </c>
      <c r="N79" s="1">
        <v>2866.0949129599994</v>
      </c>
      <c r="O79" s="1">
        <v>197.99299999999997</v>
      </c>
      <c r="P79" s="1">
        <v>0.15070282186948852</v>
      </c>
      <c r="Q79" s="1">
        <v>12.956255464480874</v>
      </c>
      <c r="R79" s="1">
        <v>20012185.699306007</v>
      </c>
      <c r="S79" s="1">
        <v>1424692.2511457496</v>
      </c>
      <c r="T79" s="1">
        <v>83.560682389453788</v>
      </c>
      <c r="U79" s="1">
        <v>22.29539889880482</v>
      </c>
      <c r="V79" s="1">
        <v>194298.72422794849</v>
      </c>
      <c r="W79" s="1">
        <v>27905.595078656908</v>
      </c>
      <c r="X79" s="1">
        <v>222561.41746160059</v>
      </c>
      <c r="Y79" s="1">
        <v>43788.702333868525</v>
      </c>
      <c r="Z79" s="1">
        <v>56899.987554166175</v>
      </c>
      <c r="AA79" s="1">
        <v>13912718887.177443</v>
      </c>
      <c r="AB79" s="1">
        <v>26.942350198724164</v>
      </c>
      <c r="AC79" s="1">
        <v>0</v>
      </c>
    </row>
    <row r="80" spans="1:29">
      <c r="A80" s="1">
        <v>77</v>
      </c>
      <c r="B80" s="1" t="s">
        <v>513</v>
      </c>
      <c r="C80" s="1">
        <v>4567.8002723811833</v>
      </c>
      <c r="D80" s="1">
        <v>201.42199999999997</v>
      </c>
      <c r="E80" s="1">
        <v>6.2229999999999999</v>
      </c>
      <c r="F80" s="1">
        <v>165.1</v>
      </c>
      <c r="G80" s="1">
        <v>10.16</v>
      </c>
      <c r="H80" s="1">
        <v>20.1676</v>
      </c>
      <c r="I80" s="1">
        <v>22.224999999999998</v>
      </c>
      <c r="J80" s="1">
        <v>14.2875</v>
      </c>
      <c r="K80" s="1">
        <v>156.97199999999998</v>
      </c>
      <c r="L80" s="1">
        <v>68.262500000000003</v>
      </c>
      <c r="M80" s="1">
        <v>10.0076</v>
      </c>
      <c r="N80" s="1">
        <v>4567.8002723811833</v>
      </c>
      <c r="O80" s="1">
        <v>191.26199999999997</v>
      </c>
      <c r="P80" s="1">
        <v>0.14732464062499998</v>
      </c>
      <c r="Q80" s="1">
        <v>15.863716456228957</v>
      </c>
      <c r="R80" s="1">
        <v>34460871.453103095</v>
      </c>
      <c r="S80" s="1">
        <v>7626899.4008202599</v>
      </c>
      <c r="T80" s="1">
        <v>86.85794996275159</v>
      </c>
      <c r="U80" s="1">
        <v>40.862078708006713</v>
      </c>
      <c r="V80" s="1">
        <v>342175.84427821293</v>
      </c>
      <c r="W80" s="1">
        <v>92391.270754939556</v>
      </c>
      <c r="X80" s="1">
        <v>379443.86598670791</v>
      </c>
      <c r="Y80" s="1">
        <v>140683.69142483216</v>
      </c>
      <c r="Z80" s="1">
        <v>144168.04497606854</v>
      </c>
      <c r="AA80" s="1">
        <v>69691702119.337494</v>
      </c>
      <c r="AB80" s="1">
        <v>46.16881032890408</v>
      </c>
      <c r="AC80" s="1">
        <v>0</v>
      </c>
    </row>
    <row r="81" spans="1:29">
      <c r="A81" s="1">
        <v>78</v>
      </c>
      <c r="B81" s="1" t="s">
        <v>514</v>
      </c>
      <c r="C81" s="1">
        <v>5320.9600563811828</v>
      </c>
      <c r="D81" s="1">
        <v>204.72399999999999</v>
      </c>
      <c r="E81" s="1">
        <v>7.238999999999999</v>
      </c>
      <c r="F81" s="1">
        <v>166.11599999999999</v>
      </c>
      <c r="G81" s="1">
        <v>11.811</v>
      </c>
      <c r="H81" s="1">
        <v>21.818599999999996</v>
      </c>
      <c r="I81" s="1">
        <v>23.8125</v>
      </c>
      <c r="J81" s="1">
        <v>15.875</v>
      </c>
      <c r="K81" s="1">
        <v>157.09899999999999</v>
      </c>
      <c r="L81" s="1">
        <v>67.182999999999993</v>
      </c>
      <c r="M81" s="1">
        <v>10.007599999999996</v>
      </c>
      <c r="N81" s="1">
        <v>5320.9600563811828</v>
      </c>
      <c r="O81" s="1">
        <v>192.91299999999998</v>
      </c>
      <c r="P81" s="1">
        <v>0.13591727367325701</v>
      </c>
      <c r="Q81" s="1">
        <v>17.645747924980046</v>
      </c>
      <c r="R81" s="1">
        <v>40807883.808300443</v>
      </c>
      <c r="S81" s="1">
        <v>9032364.7543920297</v>
      </c>
      <c r="T81" s="1">
        <v>87.574373199770861</v>
      </c>
      <c r="U81" s="1">
        <v>41.200808108450417</v>
      </c>
      <c r="V81" s="1">
        <v>398662.43145210569</v>
      </c>
      <c r="W81" s="1">
        <v>108747.67938539371</v>
      </c>
      <c r="X81" s="1">
        <v>445443.15134271194</v>
      </c>
      <c r="Y81" s="1">
        <v>165835.39449413778</v>
      </c>
      <c r="Z81" s="1">
        <v>223547.23201354453</v>
      </c>
      <c r="AA81" s="1">
        <v>83952341266.937485</v>
      </c>
      <c r="AB81" s="1">
        <v>46.748085285310481</v>
      </c>
      <c r="AC81" s="1">
        <v>0</v>
      </c>
    </row>
    <row r="82" spans="1:29">
      <c r="A82" s="1">
        <v>79</v>
      </c>
      <c r="B82" s="1" t="s">
        <v>515</v>
      </c>
      <c r="C82" s="1">
        <v>5887.2815043811834</v>
      </c>
      <c r="D82" s="1">
        <v>203.2</v>
      </c>
      <c r="E82" s="1">
        <v>7.238999999999999</v>
      </c>
      <c r="F82" s="1">
        <v>203.2</v>
      </c>
      <c r="G82" s="1">
        <v>11.048999999999999</v>
      </c>
      <c r="H82" s="1">
        <v>21.056599999999996</v>
      </c>
      <c r="I82" s="1">
        <v>28.574999999999999</v>
      </c>
      <c r="J82" s="1">
        <v>19.049999999999997</v>
      </c>
      <c r="K82" s="1">
        <v>146.04999999999998</v>
      </c>
      <c r="L82" s="1">
        <v>82.55</v>
      </c>
      <c r="M82" s="1">
        <v>10.007599999999996</v>
      </c>
      <c r="N82" s="1">
        <v>5887.2815043811834</v>
      </c>
      <c r="O82" s="1">
        <v>192.15099999999998</v>
      </c>
      <c r="P82" s="1">
        <v>0.14286797463337297</v>
      </c>
      <c r="Q82" s="1">
        <v>17.026873385118559</v>
      </c>
      <c r="R82" s="1">
        <v>45747536.950773239</v>
      </c>
      <c r="S82" s="1">
        <v>15459483.495371677</v>
      </c>
      <c r="T82" s="1">
        <v>88.150840406430234</v>
      </c>
      <c r="U82" s="1">
        <v>51.243653838396931</v>
      </c>
      <c r="V82" s="1">
        <v>450271.03298005159</v>
      </c>
      <c r="W82" s="1">
        <v>152160.27062373699</v>
      </c>
      <c r="X82" s="1">
        <v>498357.72661012388</v>
      </c>
      <c r="Y82" s="1">
        <v>230983.85529372978</v>
      </c>
      <c r="Z82" s="1">
        <v>223383.23623877461</v>
      </c>
      <c r="AA82" s="1">
        <v>142615963608.64017</v>
      </c>
      <c r="AB82" s="1">
        <v>57.433702242944356</v>
      </c>
      <c r="AC82" s="1">
        <v>0</v>
      </c>
    </row>
    <row r="83" spans="1:29">
      <c r="A83" s="1">
        <v>80</v>
      </c>
      <c r="B83" s="1" t="s">
        <v>516</v>
      </c>
      <c r="C83" s="1">
        <v>6634.4090423811822</v>
      </c>
      <c r="D83" s="1">
        <v>206.24799999999996</v>
      </c>
      <c r="E83" s="1">
        <v>7.8739999999999997</v>
      </c>
      <c r="F83" s="1">
        <v>203.70799999999997</v>
      </c>
      <c r="G83" s="1">
        <v>12.572999999999999</v>
      </c>
      <c r="H83" s="1">
        <v>22.580599999999997</v>
      </c>
      <c r="I83" s="1">
        <v>30.162499999999998</v>
      </c>
      <c r="J83" s="1">
        <v>20.637499999999999</v>
      </c>
      <c r="K83" s="1">
        <v>145.92299999999997</v>
      </c>
      <c r="L83" s="1">
        <v>81.216499999999982</v>
      </c>
      <c r="M83" s="1">
        <v>10.007599999999998</v>
      </c>
      <c r="N83" s="1">
        <v>6634.4090423811822</v>
      </c>
      <c r="O83" s="1">
        <v>193.67499999999995</v>
      </c>
      <c r="P83" s="1">
        <v>0.13247493112947659</v>
      </c>
      <c r="Q83" s="1">
        <v>18.539941075604052</v>
      </c>
      <c r="R83" s="1">
        <v>52671501.833568022</v>
      </c>
      <c r="S83" s="1">
        <v>17724751.33940595</v>
      </c>
      <c r="T83" s="1">
        <v>89.101851518669264</v>
      </c>
      <c r="U83" s="1">
        <v>51.687907811328479</v>
      </c>
      <c r="V83" s="1">
        <v>510758.90998766565</v>
      </c>
      <c r="W83" s="1">
        <v>174021.16106786137</v>
      </c>
      <c r="X83" s="1">
        <v>568199.6903936587</v>
      </c>
      <c r="Y83" s="1">
        <v>264208.28948499419</v>
      </c>
      <c r="Z83" s="1">
        <v>320197.87964593124</v>
      </c>
      <c r="AA83" s="1">
        <v>166111254394.09805</v>
      </c>
      <c r="AB83" s="1">
        <v>57.970077949264649</v>
      </c>
      <c r="AC83" s="1">
        <v>0</v>
      </c>
    </row>
    <row r="84" spans="1:29">
      <c r="A84" s="1">
        <v>81</v>
      </c>
      <c r="B84" s="1" t="s">
        <v>517</v>
      </c>
      <c r="C84" s="1">
        <v>2281.2573729599999</v>
      </c>
      <c r="D84" s="1">
        <v>250.69799999999998</v>
      </c>
      <c r="E84" s="1">
        <v>4.8259999999999996</v>
      </c>
      <c r="F84" s="1">
        <v>100.58399999999999</v>
      </c>
      <c r="G84" s="1">
        <v>5.3339999999999996</v>
      </c>
      <c r="H84" s="1">
        <v>12.954000000000001</v>
      </c>
      <c r="I84" s="1">
        <v>19.049999999999997</v>
      </c>
      <c r="J84" s="1">
        <v>14.2875</v>
      </c>
      <c r="K84" s="1">
        <v>212.59799999999998</v>
      </c>
      <c r="L84" s="1">
        <v>36.004499999999993</v>
      </c>
      <c r="M84" s="1">
        <v>7.620000000000001</v>
      </c>
      <c r="N84" s="1">
        <v>2281.2573729599999</v>
      </c>
      <c r="O84" s="1">
        <v>245.36399999999998</v>
      </c>
      <c r="P84" s="1">
        <v>0.18018253968253972</v>
      </c>
      <c r="Q84" s="1">
        <v>10.226635802469135</v>
      </c>
      <c r="R84" s="1">
        <v>22412015.021072272</v>
      </c>
      <c r="S84" s="1">
        <v>907859.83963993343</v>
      </c>
      <c r="T84" s="1">
        <v>99.118177890903794</v>
      </c>
      <c r="U84" s="1">
        <v>19.94905187941518</v>
      </c>
      <c r="V84" s="1">
        <v>178796.91917025484</v>
      </c>
      <c r="W84" s="1">
        <v>18051.77443012673</v>
      </c>
      <c r="X84" s="1">
        <v>207050.26513816084</v>
      </c>
      <c r="Y84" s="1">
        <v>28585.111440465971</v>
      </c>
      <c r="Z84" s="1">
        <v>22771.118172065962</v>
      </c>
      <c r="AA84" s="1">
        <v>13616019457.344925</v>
      </c>
      <c r="AB84" s="1">
        <v>24.958576418833928</v>
      </c>
      <c r="AC84" s="1">
        <v>0</v>
      </c>
    </row>
    <row r="85" spans="1:29">
      <c r="A85" s="1">
        <v>82</v>
      </c>
      <c r="B85" s="1" t="s">
        <v>518</v>
      </c>
      <c r="C85" s="1">
        <v>3218.9974329599995</v>
      </c>
      <c r="D85" s="1">
        <v>256.53999999999996</v>
      </c>
      <c r="E85" s="1">
        <v>6.0959999999999992</v>
      </c>
      <c r="F85" s="1">
        <v>101.85399999999998</v>
      </c>
      <c r="G85" s="1">
        <v>8.3819999999999997</v>
      </c>
      <c r="H85" s="1">
        <v>16.001999999999999</v>
      </c>
      <c r="I85" s="1">
        <v>22.224999999999998</v>
      </c>
      <c r="J85" s="1">
        <v>14.2875</v>
      </c>
      <c r="K85" s="1">
        <v>212.08999999999997</v>
      </c>
      <c r="L85" s="1">
        <v>36.639499999999991</v>
      </c>
      <c r="M85" s="1">
        <v>7.6199999999999992</v>
      </c>
      <c r="N85" s="1">
        <v>3218.9974329599995</v>
      </c>
      <c r="O85" s="1">
        <v>248.15799999999996</v>
      </c>
      <c r="P85" s="1">
        <v>0.14609917355371901</v>
      </c>
      <c r="Q85" s="1">
        <v>13.199806451612899</v>
      </c>
      <c r="R85" s="1">
        <v>33996923.89980121</v>
      </c>
      <c r="S85" s="1">
        <v>1481902.8343135614</v>
      </c>
      <c r="T85" s="1">
        <v>102.76837664992624</v>
      </c>
      <c r="U85" s="1">
        <v>21.456038962905112</v>
      </c>
      <c r="V85" s="1">
        <v>265041.8952194684</v>
      </c>
      <c r="W85" s="1">
        <v>29098.569213061081</v>
      </c>
      <c r="X85" s="1">
        <v>305371.7637450929</v>
      </c>
      <c r="Y85" s="1">
        <v>45942.775505713566</v>
      </c>
      <c r="Z85" s="1">
        <v>64891.182164657796</v>
      </c>
      <c r="AA85" s="1">
        <v>22726221918.200348</v>
      </c>
      <c r="AB85" s="1">
        <v>26.339149206010656</v>
      </c>
      <c r="AC85" s="1">
        <v>0</v>
      </c>
    </row>
    <row r="86" spans="1:29">
      <c r="A86" s="1">
        <v>83</v>
      </c>
      <c r="B86" s="1" t="s">
        <v>519</v>
      </c>
      <c r="C86" s="1">
        <v>3616.4805089599995</v>
      </c>
      <c r="D86" s="1">
        <v>259.08</v>
      </c>
      <c r="E86" s="1">
        <v>6.35</v>
      </c>
      <c r="F86" s="1">
        <v>102.10799999999999</v>
      </c>
      <c r="G86" s="1">
        <v>10.032999999999999</v>
      </c>
      <c r="H86" s="1">
        <v>17.652999999999999</v>
      </c>
      <c r="I86" s="1">
        <v>23.8125</v>
      </c>
      <c r="J86" s="1">
        <v>15.875</v>
      </c>
      <c r="K86" s="1">
        <v>211.45499999999998</v>
      </c>
      <c r="L86" s="1">
        <v>35.178999999999995</v>
      </c>
      <c r="M86" s="1">
        <v>7.6199999999999992</v>
      </c>
      <c r="N86" s="1">
        <v>3616.4805089599995</v>
      </c>
      <c r="O86" s="1">
        <v>249.047</v>
      </c>
      <c r="P86" s="1">
        <v>0.12990995032847302</v>
      </c>
      <c r="Q86" s="1">
        <v>14.643929648241206</v>
      </c>
      <c r="R86" s="1">
        <v>39704851.307702817</v>
      </c>
      <c r="S86" s="1">
        <v>1786545.9184727573</v>
      </c>
      <c r="T86" s="1">
        <v>104.78007924615136</v>
      </c>
      <c r="U86" s="1">
        <v>22.22613905545904</v>
      </c>
      <c r="V86" s="1">
        <v>306506.49457853031</v>
      </c>
      <c r="W86" s="1">
        <v>34993.260439392754</v>
      </c>
      <c r="X86" s="1">
        <v>351697.99219825712</v>
      </c>
      <c r="Y86" s="1">
        <v>54954.743521741482</v>
      </c>
      <c r="Z86" s="1">
        <v>96840.312488715528</v>
      </c>
      <c r="AA86" s="1">
        <v>27603331996.876087</v>
      </c>
      <c r="AB86" s="1">
        <v>26.940950280481466</v>
      </c>
      <c r="AC86" s="1">
        <v>0</v>
      </c>
    </row>
    <row r="87" spans="1:29">
      <c r="A87" s="1">
        <v>84</v>
      </c>
      <c r="B87" s="1" t="s">
        <v>520</v>
      </c>
      <c r="C87" s="1">
        <v>4188.6729129599989</v>
      </c>
      <c r="D87" s="1">
        <v>259.08</v>
      </c>
      <c r="E87" s="1">
        <v>6.0959999999999992</v>
      </c>
      <c r="F87" s="1">
        <v>146.04999999999998</v>
      </c>
      <c r="G87" s="1">
        <v>9.1439999999999984</v>
      </c>
      <c r="H87" s="1">
        <v>16.763999999999999</v>
      </c>
      <c r="I87" s="1">
        <v>23.8125</v>
      </c>
      <c r="J87" s="1">
        <v>15.875</v>
      </c>
      <c r="K87" s="1">
        <v>211.45499999999998</v>
      </c>
      <c r="L87" s="1">
        <v>57.149999999999991</v>
      </c>
      <c r="M87" s="1">
        <v>7.620000000000001</v>
      </c>
      <c r="N87" s="1">
        <v>4188.6729129599989</v>
      </c>
      <c r="O87" s="1">
        <v>249.93599999999998</v>
      </c>
      <c r="P87" s="1">
        <v>0.13772222222222225</v>
      </c>
      <c r="Q87" s="1">
        <v>13.811249999999998</v>
      </c>
      <c r="R87" s="1">
        <v>49525672.913435251</v>
      </c>
      <c r="S87" s="1">
        <v>4753541.1629134929</v>
      </c>
      <c r="T87" s="1">
        <v>108.73690524052725</v>
      </c>
      <c r="U87" s="1">
        <v>33.687625879824601</v>
      </c>
      <c r="V87" s="1">
        <v>382319.53769828047</v>
      </c>
      <c r="W87" s="1">
        <v>65094.709522950958</v>
      </c>
      <c r="X87" s="1">
        <v>428063.54923070851</v>
      </c>
      <c r="Y87" s="1">
        <v>99997.300493221526</v>
      </c>
      <c r="Z87" s="1">
        <v>99710.754252795348</v>
      </c>
      <c r="AA87" s="1">
        <v>74145925368.715683</v>
      </c>
      <c r="AB87" s="1">
        <v>39.418018865012876</v>
      </c>
      <c r="AC87" s="1">
        <v>0</v>
      </c>
    </row>
    <row r="88" spans="1:29">
      <c r="A88" s="1">
        <v>85</v>
      </c>
      <c r="B88" s="1" t="s">
        <v>521</v>
      </c>
      <c r="C88" s="1">
        <v>9312.1104080000005</v>
      </c>
      <c r="D88" s="1">
        <v>254</v>
      </c>
      <c r="E88" s="1">
        <v>8.636000000000001</v>
      </c>
      <c r="F88" s="1">
        <v>254</v>
      </c>
      <c r="G88" s="1">
        <v>14.224</v>
      </c>
      <c r="H88" s="1">
        <v>26.923999999999999</v>
      </c>
      <c r="I88" s="1">
        <v>31.75</v>
      </c>
      <c r="J88" s="1">
        <v>20.637499999999999</v>
      </c>
      <c r="K88" s="1">
        <v>190.5</v>
      </c>
      <c r="L88" s="1">
        <v>106.3625</v>
      </c>
      <c r="M88" s="1">
        <v>12.7</v>
      </c>
      <c r="N88" s="1">
        <v>9312.1104080000005</v>
      </c>
      <c r="O88" s="1">
        <v>239.77600000000001</v>
      </c>
      <c r="P88" s="1">
        <v>0.13938392857142859</v>
      </c>
      <c r="Q88" s="1">
        <v>21.53301282051282</v>
      </c>
      <c r="R88" s="1">
        <v>113911219.82334131</v>
      </c>
      <c r="S88" s="1">
        <v>38868240.330231786</v>
      </c>
      <c r="T88" s="1">
        <v>110.60103549021922</v>
      </c>
      <c r="U88" s="1">
        <v>64.606078601927209</v>
      </c>
      <c r="V88" s="1">
        <v>896938.73876646697</v>
      </c>
      <c r="W88" s="1">
        <v>306049.13645851798</v>
      </c>
      <c r="X88" s="1">
        <v>991343.31252582255</v>
      </c>
      <c r="Y88" s="1">
        <v>464033.82497214549</v>
      </c>
      <c r="Z88" s="1">
        <v>578476.99142703915</v>
      </c>
      <c r="AA88" s="1">
        <v>558371281918.50842</v>
      </c>
      <c r="AB88" s="1">
        <v>72.078195685985776</v>
      </c>
      <c r="AC88" s="1">
        <v>0</v>
      </c>
    </row>
    <row r="89" spans="1:29">
      <c r="A89" s="1">
        <v>86</v>
      </c>
      <c r="B89" s="1" t="s">
        <v>522</v>
      </c>
      <c r="C89" s="1">
        <v>2679.8372209599997</v>
      </c>
      <c r="D89" s="1">
        <v>302.26</v>
      </c>
      <c r="E89" s="1">
        <v>5.08</v>
      </c>
      <c r="F89" s="1">
        <v>100.83799999999999</v>
      </c>
      <c r="G89" s="1">
        <v>5.7149999999999999</v>
      </c>
      <c r="H89" s="1">
        <v>13.335000000000001</v>
      </c>
      <c r="I89" s="1">
        <v>19.049999999999997</v>
      </c>
      <c r="J89" s="1">
        <v>14.2875</v>
      </c>
      <c r="K89" s="1">
        <v>264.15999999999997</v>
      </c>
      <c r="L89" s="1">
        <v>36.131499999999996</v>
      </c>
      <c r="M89" s="1">
        <v>7.620000000000001</v>
      </c>
      <c r="N89" s="1">
        <v>2679.8372209599997</v>
      </c>
      <c r="O89" s="1">
        <v>296.54500000000002</v>
      </c>
      <c r="P89" s="1">
        <v>0.17508641975308645</v>
      </c>
      <c r="Q89" s="1">
        <v>10.641060606060607</v>
      </c>
      <c r="R89" s="1">
        <v>36785364.242345169</v>
      </c>
      <c r="S89" s="1">
        <v>980822.37504717137</v>
      </c>
      <c r="T89" s="1">
        <v>117.1610682752481</v>
      </c>
      <c r="U89" s="1">
        <v>19.131145508517157</v>
      </c>
      <c r="V89" s="1">
        <v>243402.13221958029</v>
      </c>
      <c r="W89" s="1">
        <v>19453.427776179047</v>
      </c>
      <c r="X89" s="1">
        <v>285477.93408896087</v>
      </c>
      <c r="Y89" s="1">
        <v>31143.677492355891</v>
      </c>
      <c r="Z89" s="1">
        <v>29298.851976963495</v>
      </c>
      <c r="AA89" s="1">
        <v>21471326444.506428</v>
      </c>
      <c r="AB89" s="1">
        <v>24.443494751072802</v>
      </c>
      <c r="AC89" s="1">
        <v>0</v>
      </c>
    </row>
    <row r="90" spans="1:29">
      <c r="A90" s="1">
        <v>87</v>
      </c>
      <c r="B90" s="1" t="s">
        <v>523</v>
      </c>
      <c r="C90" s="1">
        <v>3042.1590769599998</v>
      </c>
      <c r="D90" s="1">
        <v>304.79999999999995</v>
      </c>
      <c r="E90" s="1">
        <v>5.5880000000000001</v>
      </c>
      <c r="F90" s="1">
        <v>101.346</v>
      </c>
      <c r="G90" s="1">
        <v>6.7309999999999999</v>
      </c>
      <c r="H90" s="1">
        <v>14.350999999999997</v>
      </c>
      <c r="I90" s="1">
        <v>20.637499999999999</v>
      </c>
      <c r="J90" s="1">
        <v>14.2875</v>
      </c>
      <c r="K90" s="1">
        <v>263.52499999999998</v>
      </c>
      <c r="L90" s="1">
        <v>36.3855</v>
      </c>
      <c r="M90" s="1">
        <v>7.6199999999999974</v>
      </c>
      <c r="N90" s="1">
        <v>3042.1590769599998</v>
      </c>
      <c r="O90" s="1">
        <v>298.06899999999996</v>
      </c>
      <c r="P90" s="1">
        <v>0.16333997864008545</v>
      </c>
      <c r="Q90" s="1">
        <v>11.667115606936415</v>
      </c>
      <c r="R90" s="1">
        <v>42856673.79407499</v>
      </c>
      <c r="S90" s="1">
        <v>1173090.4058517206</v>
      </c>
      <c r="T90" s="1">
        <v>118.69113168889764</v>
      </c>
      <c r="U90" s="1">
        <v>19.636983784470821</v>
      </c>
      <c r="V90" s="1">
        <v>281211.77030232939</v>
      </c>
      <c r="W90" s="1">
        <v>23150.206339702021</v>
      </c>
      <c r="X90" s="1">
        <v>329080.72509223665</v>
      </c>
      <c r="Y90" s="1">
        <v>37065.496373855742</v>
      </c>
      <c r="Z90" s="1">
        <v>42740.220364842433</v>
      </c>
      <c r="AA90" s="1">
        <v>25937123317.014896</v>
      </c>
      <c r="AB90" s="1">
        <v>24.93402563811458</v>
      </c>
      <c r="AC90" s="1">
        <v>0</v>
      </c>
    </row>
    <row r="91" spans="1:29">
      <c r="A91" s="1">
        <v>88</v>
      </c>
      <c r="B91" s="1" t="s">
        <v>524</v>
      </c>
      <c r="C91" s="1">
        <v>4180.4793809600005</v>
      </c>
      <c r="D91" s="1">
        <v>312.42</v>
      </c>
      <c r="E91" s="1">
        <v>6.6040000000000001</v>
      </c>
      <c r="F91" s="1">
        <v>102.36199999999999</v>
      </c>
      <c r="G91" s="1">
        <v>10.795</v>
      </c>
      <c r="H91" s="1">
        <v>18.414999999999999</v>
      </c>
      <c r="I91" s="1">
        <v>23.8125</v>
      </c>
      <c r="J91" s="1">
        <v>15.875</v>
      </c>
      <c r="K91" s="1">
        <v>264.79500000000002</v>
      </c>
      <c r="L91" s="1">
        <v>35.305999999999997</v>
      </c>
      <c r="M91" s="1">
        <v>7.6199999999999992</v>
      </c>
      <c r="N91" s="1">
        <v>4180.4793809600005</v>
      </c>
      <c r="O91" s="1">
        <v>301.625</v>
      </c>
      <c r="P91" s="1">
        <v>0.12410103806228372</v>
      </c>
      <c r="Q91" s="1">
        <v>15.376912195121951</v>
      </c>
      <c r="R91" s="1">
        <v>64853679.995106772</v>
      </c>
      <c r="S91" s="1">
        <v>1938020.2286838447</v>
      </c>
      <c r="T91" s="1">
        <v>124.55302202939117</v>
      </c>
      <c r="U91" s="1">
        <v>21.531094647043474</v>
      </c>
      <c r="V91" s="1">
        <v>415169.83544655761</v>
      </c>
      <c r="W91" s="1">
        <v>37866.009430918595</v>
      </c>
      <c r="X91" s="1">
        <v>480102.99645096093</v>
      </c>
      <c r="Y91" s="1">
        <v>59975.285681927417</v>
      </c>
      <c r="Z91" s="1">
        <v>121939.69697844579</v>
      </c>
      <c r="AA91" s="1">
        <v>43889674811.93943</v>
      </c>
      <c r="AB91" s="1">
        <v>26.532912607956693</v>
      </c>
      <c r="AC91" s="1">
        <v>0</v>
      </c>
    </row>
    <row r="92" spans="1:29">
      <c r="A92" s="1">
        <v>89</v>
      </c>
      <c r="B92" s="1" t="s">
        <v>525</v>
      </c>
      <c r="C92" s="1">
        <v>4929.5746569599996</v>
      </c>
      <c r="D92" s="1">
        <v>309.87999999999994</v>
      </c>
      <c r="E92" s="1">
        <v>5.8419999999999996</v>
      </c>
      <c r="F92" s="1">
        <v>164.846</v>
      </c>
      <c r="G92" s="1">
        <v>9.6519999999999992</v>
      </c>
      <c r="H92" s="1">
        <v>17.271999999999998</v>
      </c>
      <c r="I92" s="1">
        <v>26.987499999999997</v>
      </c>
      <c r="J92" s="1">
        <v>19.049999999999997</v>
      </c>
      <c r="K92" s="1">
        <v>255.90499999999994</v>
      </c>
      <c r="L92" s="1">
        <v>63.373000000000005</v>
      </c>
      <c r="M92" s="1">
        <v>7.6199999999999992</v>
      </c>
      <c r="N92" s="1">
        <v>4929.5746569599996</v>
      </c>
      <c r="O92" s="1">
        <v>300.22799999999995</v>
      </c>
      <c r="P92" s="1">
        <v>0.13063331024930747</v>
      </c>
      <c r="Q92" s="1">
        <v>14.115790816326529</v>
      </c>
      <c r="R92" s="1">
        <v>84704755.843754694</v>
      </c>
      <c r="S92" s="1">
        <v>7212111.2681021681</v>
      </c>
      <c r="T92" s="1">
        <v>131.08384547339926</v>
      </c>
      <c r="U92" s="1">
        <v>38.249563646386981</v>
      </c>
      <c r="V92" s="1">
        <v>546693.91921876022</v>
      </c>
      <c r="W92" s="1">
        <v>87501.198307537561</v>
      </c>
      <c r="X92" s="1">
        <v>608163.9846110529</v>
      </c>
      <c r="Y92" s="1">
        <v>133852.39658160365</v>
      </c>
      <c r="Z92" s="1">
        <v>124858.34103983344</v>
      </c>
      <c r="AA92" s="1">
        <v>162384173099.53967</v>
      </c>
      <c r="AB92" s="1">
        <v>44.500991389936111</v>
      </c>
      <c r="AC92" s="1">
        <v>0</v>
      </c>
    </row>
    <row r="93" spans="1:29">
      <c r="A93" s="1">
        <v>90</v>
      </c>
      <c r="B93" s="1" t="s">
        <v>526</v>
      </c>
      <c r="C93" s="1">
        <v>12303.843172909599</v>
      </c>
      <c r="D93" s="1">
        <v>307.33999999999997</v>
      </c>
      <c r="E93" s="1">
        <v>9.9060000000000006</v>
      </c>
      <c r="F93" s="1">
        <v>304.79999999999995</v>
      </c>
      <c r="G93" s="1">
        <v>15.366999999999999</v>
      </c>
      <c r="H93" s="1">
        <v>30.479999999999997</v>
      </c>
      <c r="I93" s="1">
        <v>38.099999999999994</v>
      </c>
      <c r="J93" s="1">
        <v>25.4</v>
      </c>
      <c r="K93" s="1">
        <v>231.14</v>
      </c>
      <c r="L93" s="1">
        <v>126.99999999999997</v>
      </c>
      <c r="M93" s="1">
        <v>15.112999999999998</v>
      </c>
      <c r="N93" s="1">
        <v>12303.843172909599</v>
      </c>
      <c r="O93" s="1">
        <v>291.97299999999996</v>
      </c>
      <c r="P93" s="1">
        <v>0.14860453520934361</v>
      </c>
      <c r="Q93" s="1">
        <v>24.198275766016707</v>
      </c>
      <c r="R93" s="1">
        <v>220871092.17465529</v>
      </c>
      <c r="S93" s="1">
        <v>72561735.602920353</v>
      </c>
      <c r="T93" s="1">
        <v>133.98279888305092</v>
      </c>
      <c r="U93" s="1">
        <v>76.795087149539867</v>
      </c>
      <c r="V93" s="1">
        <v>1437307.8165852495</v>
      </c>
      <c r="W93" s="1">
        <v>476126.87403491052</v>
      </c>
      <c r="X93" s="1">
        <v>1583494.2763392804</v>
      </c>
      <c r="Y93" s="1">
        <v>722239.20864604856</v>
      </c>
      <c r="Z93" s="1">
        <v>905490.61445121549</v>
      </c>
      <c r="AA93" s="1">
        <v>1545639194188.5623</v>
      </c>
      <c r="AB93" s="1">
        <v>85.849008872932998</v>
      </c>
      <c r="AC93" s="1">
        <v>0</v>
      </c>
    </row>
    <row r="94" spans="1:29">
      <c r="A94" s="1">
        <v>91</v>
      </c>
      <c r="B94" s="1" t="s">
        <v>527</v>
      </c>
      <c r="C94" s="1">
        <v>13614.052771839999</v>
      </c>
      <c r="D94" s="1">
        <v>312.42</v>
      </c>
      <c r="E94" s="1">
        <v>10.921999999999999</v>
      </c>
      <c r="F94" s="1">
        <v>304.79999999999995</v>
      </c>
      <c r="G94" s="1">
        <v>17.018000000000001</v>
      </c>
      <c r="H94" s="1">
        <v>32.257999999999996</v>
      </c>
      <c r="I94" s="1">
        <v>39.6875</v>
      </c>
      <c r="J94" s="1">
        <v>26.987499999999997</v>
      </c>
      <c r="K94" s="1">
        <v>233.04500000000002</v>
      </c>
      <c r="L94" s="1">
        <v>125.41249999999998</v>
      </c>
      <c r="M94" s="1">
        <v>15.239999999999995</v>
      </c>
      <c r="N94" s="1">
        <v>13614.052771839999</v>
      </c>
      <c r="O94" s="1">
        <v>295.40200000000004</v>
      </c>
      <c r="P94" s="1">
        <v>0.14140777456003562</v>
      </c>
      <c r="Q94" s="1">
        <v>26.040093582887696</v>
      </c>
      <c r="R94" s="1">
        <v>249882729.00123265</v>
      </c>
      <c r="S94" s="1">
        <v>80363527.998503253</v>
      </c>
      <c r="T94" s="1">
        <v>135.47975583718573</v>
      </c>
      <c r="U94" s="1">
        <v>76.830875533400473</v>
      </c>
      <c r="V94" s="1">
        <v>1599658.9783063354</v>
      </c>
      <c r="W94" s="1">
        <v>527319.7375229873</v>
      </c>
      <c r="X94" s="1">
        <v>1770955.0516686451</v>
      </c>
      <c r="Y94" s="1">
        <v>800581.52000405407</v>
      </c>
      <c r="Z94" s="1">
        <v>1217208.3200068192</v>
      </c>
      <c r="AA94" s="1">
        <v>1752140903580.5879</v>
      </c>
      <c r="AB94" s="1">
        <v>86.14052434338609</v>
      </c>
      <c r="AC94" s="1">
        <v>0</v>
      </c>
    </row>
    <row r="95" spans="1:29">
      <c r="A95" s="1">
        <v>92</v>
      </c>
      <c r="B95" s="1" t="s">
        <v>528</v>
      </c>
      <c r="C95" s="1">
        <v>4183.37485904</v>
      </c>
      <c r="D95" s="1">
        <v>347.97999999999996</v>
      </c>
      <c r="E95" s="1">
        <v>5.8419999999999996</v>
      </c>
      <c r="F95" s="1">
        <v>127</v>
      </c>
      <c r="G95" s="1">
        <v>8.5090000000000003</v>
      </c>
      <c r="H95" s="1">
        <v>18.668999999999997</v>
      </c>
      <c r="I95" s="1">
        <v>26.987499999999997</v>
      </c>
      <c r="J95" s="1">
        <v>19.049999999999997</v>
      </c>
      <c r="K95" s="1">
        <v>294.005</v>
      </c>
      <c r="L95" s="1">
        <v>44.45</v>
      </c>
      <c r="M95" s="1">
        <v>10.159999999999997</v>
      </c>
      <c r="N95" s="1">
        <v>4183.37485904</v>
      </c>
      <c r="O95" s="1">
        <v>339.47099999999995</v>
      </c>
      <c r="P95" s="1">
        <v>0.16634707061706389</v>
      </c>
      <c r="Q95" s="1">
        <v>14.444431718061674</v>
      </c>
      <c r="R95" s="1">
        <v>82289457.17906487</v>
      </c>
      <c r="S95" s="1">
        <v>2913154.2916206205</v>
      </c>
      <c r="T95" s="1">
        <v>140.25188525384368</v>
      </c>
      <c r="U95" s="1">
        <v>26.388721669975368</v>
      </c>
      <c r="V95" s="1">
        <v>472955.09614957689</v>
      </c>
      <c r="W95" s="1">
        <v>45876.445537332605</v>
      </c>
      <c r="X95" s="1">
        <v>541286.05345627328</v>
      </c>
      <c r="Y95" s="1">
        <v>71904.595119976788</v>
      </c>
      <c r="Z95" s="1">
        <v>86438.03361895695</v>
      </c>
      <c r="AA95" s="1">
        <v>83691972607.828705</v>
      </c>
      <c r="AB95" s="1">
        <v>32.33390298170967</v>
      </c>
      <c r="AC95" s="1">
        <v>0</v>
      </c>
    </row>
    <row r="96" spans="1:29">
      <c r="A96" s="1">
        <v>93</v>
      </c>
      <c r="B96" s="1" t="s">
        <v>529</v>
      </c>
      <c r="C96" s="1">
        <v>5701.6298870400005</v>
      </c>
      <c r="D96" s="1">
        <v>350.52</v>
      </c>
      <c r="E96" s="1">
        <v>6.8579999999999997</v>
      </c>
      <c r="F96" s="1">
        <v>170.94200000000001</v>
      </c>
      <c r="G96" s="1">
        <v>9.7789999999999999</v>
      </c>
      <c r="H96" s="1">
        <v>19.939</v>
      </c>
      <c r="I96" s="1">
        <v>28.574999999999999</v>
      </c>
      <c r="J96" s="1">
        <v>19.049999999999997</v>
      </c>
      <c r="K96" s="1">
        <v>293.37</v>
      </c>
      <c r="L96" s="1">
        <v>66.421000000000006</v>
      </c>
      <c r="M96" s="1">
        <v>10.16</v>
      </c>
      <c r="N96" s="1">
        <v>5701.6298870400005</v>
      </c>
      <c r="O96" s="1">
        <v>340.74099999999999</v>
      </c>
      <c r="P96" s="1">
        <v>0.15490166975881262</v>
      </c>
      <c r="Q96" s="1">
        <v>15.914118143459914</v>
      </c>
      <c r="R96" s="1">
        <v>120147970.16946323</v>
      </c>
      <c r="S96" s="1">
        <v>8153313.7483629119</v>
      </c>
      <c r="T96" s="1">
        <v>145.16392685862516</v>
      </c>
      <c r="U96" s="1">
        <v>37.81530140210478</v>
      </c>
      <c r="V96" s="1">
        <v>685541.3110205594</v>
      </c>
      <c r="W96" s="1">
        <v>95392.750153419416</v>
      </c>
      <c r="X96" s="1">
        <v>771858.10305318725</v>
      </c>
      <c r="Y96" s="1">
        <v>147273.29296421513</v>
      </c>
      <c r="Z96" s="1">
        <v>158185.00086536497</v>
      </c>
      <c r="AA96" s="1">
        <v>236307950846.71426</v>
      </c>
      <c r="AB96" s="1">
        <v>45.013984910874967</v>
      </c>
      <c r="AC96" s="1">
        <v>0</v>
      </c>
    </row>
    <row r="97" spans="1:29">
      <c r="A97" s="1">
        <v>94</v>
      </c>
      <c r="B97" s="1" t="s">
        <v>530</v>
      </c>
      <c r="C97" s="1">
        <v>12845.915624246398</v>
      </c>
      <c r="D97" s="1">
        <v>355.59999999999997</v>
      </c>
      <c r="E97" s="1">
        <v>10.540999999999999</v>
      </c>
      <c r="F97" s="1">
        <v>254</v>
      </c>
      <c r="G97" s="1">
        <v>18.287999999999997</v>
      </c>
      <c r="H97" s="1">
        <v>33.274000000000001</v>
      </c>
      <c r="I97" s="1">
        <v>39.6875</v>
      </c>
      <c r="J97" s="1">
        <v>26.987499999999997</v>
      </c>
      <c r="K97" s="1">
        <v>276.22499999999997</v>
      </c>
      <c r="L97" s="1">
        <v>100.0125</v>
      </c>
      <c r="M97" s="1">
        <v>14.986000000000004</v>
      </c>
      <c r="N97" s="1">
        <v>12845.915624246398</v>
      </c>
      <c r="O97" s="1">
        <v>337.31199999999995</v>
      </c>
      <c r="P97" s="1">
        <v>0.13130818383487658</v>
      </c>
      <c r="Q97" s="1">
        <v>26.790399342105264</v>
      </c>
      <c r="R97" s="1">
        <v>297744489.83889633</v>
      </c>
      <c r="S97" s="1">
        <v>49994739.306250386</v>
      </c>
      <c r="T97" s="1">
        <v>152.24370134261275</v>
      </c>
      <c r="U97" s="1">
        <v>62.384919857505018</v>
      </c>
      <c r="V97" s="1">
        <v>1674603.4299150526</v>
      </c>
      <c r="W97" s="1">
        <v>393659.3646161448</v>
      </c>
      <c r="X97" s="1">
        <v>1865176.8959258862</v>
      </c>
      <c r="Y97" s="1">
        <v>600457.56126875535</v>
      </c>
      <c r="Z97" s="1">
        <v>1248569.4914961138</v>
      </c>
      <c r="AA97" s="1">
        <v>1420756672968.7454</v>
      </c>
      <c r="AB97" s="1">
        <v>70.958930943932913</v>
      </c>
      <c r="AC97" s="1">
        <v>0</v>
      </c>
    </row>
    <row r="98" spans="1:29">
      <c r="A98" s="1">
        <v>95</v>
      </c>
      <c r="B98" s="1" t="s">
        <v>531</v>
      </c>
      <c r="C98" s="1">
        <v>14093.129916909598</v>
      </c>
      <c r="D98" s="1">
        <v>360.67999999999995</v>
      </c>
      <c r="E98" s="1">
        <v>11.43</v>
      </c>
      <c r="F98" s="1">
        <v>256.53999999999996</v>
      </c>
      <c r="G98" s="1">
        <v>19.939</v>
      </c>
      <c r="H98" s="1">
        <v>35.051999999999992</v>
      </c>
      <c r="I98" s="1">
        <v>41.274999999999999</v>
      </c>
      <c r="J98" s="1">
        <v>26.987499999999997</v>
      </c>
      <c r="K98" s="1">
        <v>278.12999999999994</v>
      </c>
      <c r="L98" s="1">
        <v>101.28249999999998</v>
      </c>
      <c r="M98" s="1">
        <v>15.112999999999992</v>
      </c>
      <c r="N98" s="1">
        <v>14093.129916909598</v>
      </c>
      <c r="O98" s="1">
        <v>340.74099999999993</v>
      </c>
      <c r="P98" s="1">
        <v>0.1257886729684774</v>
      </c>
      <c r="Q98" s="1">
        <v>28.586574683544299</v>
      </c>
      <c r="R98" s="1">
        <v>333567385.08783364</v>
      </c>
      <c r="S98" s="1">
        <v>56164732.98960273</v>
      </c>
      <c r="T98" s="1">
        <v>153.84665656191478</v>
      </c>
      <c r="U98" s="1">
        <v>63.128885404274868</v>
      </c>
      <c r="V98" s="1">
        <v>1849658.34028964</v>
      </c>
      <c r="W98" s="1">
        <v>437863.35845952085</v>
      </c>
      <c r="X98" s="1">
        <v>2067804.7384492445</v>
      </c>
      <c r="Y98" s="1">
        <v>668380.55580596975</v>
      </c>
      <c r="Z98" s="1">
        <v>1617034.0368956029</v>
      </c>
      <c r="AA98" s="1">
        <v>1628569099101.0061</v>
      </c>
      <c r="AB98" s="1">
        <v>71.925566426122202</v>
      </c>
      <c r="AC98" s="1">
        <v>0</v>
      </c>
    </row>
    <row r="99" spans="1:29">
      <c r="A99" s="1">
        <v>96</v>
      </c>
      <c r="B99" s="1" t="s">
        <v>532</v>
      </c>
      <c r="C99" s="1">
        <v>17054.303955839998</v>
      </c>
      <c r="D99" s="1">
        <v>355.59999999999997</v>
      </c>
      <c r="E99" s="1">
        <v>11.176</v>
      </c>
      <c r="F99" s="1">
        <v>368.29999999999995</v>
      </c>
      <c r="G99" s="1">
        <v>18.033999999999999</v>
      </c>
      <c r="H99" s="1">
        <v>33.274000000000001</v>
      </c>
      <c r="I99" s="1">
        <v>50.8</v>
      </c>
      <c r="J99" s="1">
        <v>36.512499999999996</v>
      </c>
      <c r="K99" s="1">
        <v>253.99999999999997</v>
      </c>
      <c r="L99" s="1">
        <v>147.63749999999999</v>
      </c>
      <c r="M99" s="1">
        <v>15.240000000000002</v>
      </c>
      <c r="N99" s="1">
        <v>17054.303955839998</v>
      </c>
      <c r="O99" s="1">
        <v>337.56599999999997</v>
      </c>
      <c r="P99" s="1">
        <v>0.13612338821662368</v>
      </c>
      <c r="Q99" s="1">
        <v>26.975863874345553</v>
      </c>
      <c r="R99" s="1">
        <v>414046458.12277436</v>
      </c>
      <c r="S99" s="1">
        <v>150212043.38000461</v>
      </c>
      <c r="T99" s="1">
        <v>155.81438053813426</v>
      </c>
      <c r="U99" s="1">
        <v>93.850237817204501</v>
      </c>
      <c r="V99" s="1">
        <v>2328720.2369109923</v>
      </c>
      <c r="W99" s="1">
        <v>815704.82421941147</v>
      </c>
      <c r="X99" s="1">
        <v>2558530.3168865768</v>
      </c>
      <c r="Y99" s="1">
        <v>1234880.3575001254</v>
      </c>
      <c r="Z99" s="1">
        <v>1688502.4868987552</v>
      </c>
      <c r="AA99" s="1">
        <v>4277631560254.2915</v>
      </c>
      <c r="AB99" s="1">
        <v>104.34173869814596</v>
      </c>
      <c r="AC99" s="1">
        <v>0</v>
      </c>
    </row>
    <row r="100" spans="1:29">
      <c r="A100" s="1">
        <v>97</v>
      </c>
      <c r="B100" s="1" t="s">
        <v>533</v>
      </c>
      <c r="C100" s="1">
        <v>22832.744011839994</v>
      </c>
      <c r="D100" s="1">
        <v>368.29999999999995</v>
      </c>
      <c r="E100" s="1">
        <v>14.985999999999999</v>
      </c>
      <c r="F100" s="1">
        <v>373.37999999999994</v>
      </c>
      <c r="G100" s="1">
        <v>23.875999999999998</v>
      </c>
      <c r="H100" s="1">
        <v>39.116</v>
      </c>
      <c r="I100" s="1">
        <v>57.15</v>
      </c>
      <c r="J100" s="1">
        <v>38.099999999999994</v>
      </c>
      <c r="K100" s="1">
        <v>253.99999999999994</v>
      </c>
      <c r="L100" s="1">
        <v>148.58999999999997</v>
      </c>
      <c r="M100" s="1">
        <v>15.240000000000002</v>
      </c>
      <c r="N100" s="1">
        <v>22832.744011839994</v>
      </c>
      <c r="O100" s="1">
        <v>344.42399999999998</v>
      </c>
      <c r="P100" s="1">
        <v>0.11967694658216385</v>
      </c>
      <c r="Q100" s="1">
        <v>33.383492990654204</v>
      </c>
      <c r="R100" s="1">
        <v>575660316.54597783</v>
      </c>
      <c r="S100" s="1">
        <v>207254957.38743013</v>
      </c>
      <c r="T100" s="1">
        <v>158.78303259522556</v>
      </c>
      <c r="U100" s="1">
        <v>95.273782987213025</v>
      </c>
      <c r="V100" s="1">
        <v>3126040.2744826386</v>
      </c>
      <c r="W100" s="1">
        <v>1110155.6451198787</v>
      </c>
      <c r="X100" s="1">
        <v>3486710.0987116871</v>
      </c>
      <c r="Y100" s="1">
        <v>1684477.6528972844</v>
      </c>
      <c r="Z100" s="1">
        <v>3908409.2668651347</v>
      </c>
      <c r="AA100" s="1">
        <v>6143138331776.2861</v>
      </c>
      <c r="AB100" s="1">
        <v>106.8530404808823</v>
      </c>
      <c r="AC100" s="1">
        <v>0</v>
      </c>
    </row>
    <row r="101" spans="1:29">
      <c r="A101" s="1">
        <v>98</v>
      </c>
      <c r="B101" s="1" t="s">
        <v>534</v>
      </c>
      <c r="C101" s="1">
        <v>27535.831379840001</v>
      </c>
      <c r="D101" s="1">
        <v>375.92</v>
      </c>
      <c r="E101" s="1">
        <v>17.272000000000002</v>
      </c>
      <c r="F101" s="1">
        <v>393.7</v>
      </c>
      <c r="G101" s="1">
        <v>27.686</v>
      </c>
      <c r="H101" s="1">
        <v>42.925999999999995</v>
      </c>
      <c r="I101" s="1">
        <v>60.324999999999996</v>
      </c>
      <c r="J101" s="1">
        <v>39.6875</v>
      </c>
      <c r="K101" s="1">
        <v>255.27000000000004</v>
      </c>
      <c r="L101" s="1">
        <v>157.16249999999999</v>
      </c>
      <c r="M101" s="1">
        <v>15.239999999999995</v>
      </c>
      <c r="N101" s="1">
        <v>27535.831379840001</v>
      </c>
      <c r="O101" s="1">
        <v>348.23400000000004</v>
      </c>
      <c r="P101" s="1">
        <v>0.11218904132648766</v>
      </c>
      <c r="Q101" s="1">
        <v>37.486628820960696</v>
      </c>
      <c r="R101" s="1">
        <v>714610424.05015898</v>
      </c>
      <c r="S101" s="1">
        <v>281750365.33916724</v>
      </c>
      <c r="T101" s="1">
        <v>161.09630404804778</v>
      </c>
      <c r="U101" s="1">
        <v>101.15402006043882</v>
      </c>
      <c r="V101" s="1">
        <v>3801928.1977556869</v>
      </c>
      <c r="W101" s="1">
        <v>1431294.7185124066</v>
      </c>
      <c r="X101" s="1">
        <v>4270697.0485411044</v>
      </c>
      <c r="Y101" s="1">
        <v>2171967.7769679902</v>
      </c>
      <c r="Z101" s="1">
        <v>6316863.8126582885</v>
      </c>
      <c r="AA101" s="1">
        <v>8536651654885.1924</v>
      </c>
      <c r="AB101" s="1">
        <v>113.59281875091771</v>
      </c>
      <c r="AC101" s="1">
        <v>0</v>
      </c>
    </row>
    <row r="102" spans="1:29">
      <c r="A102" s="1">
        <v>99</v>
      </c>
      <c r="B102" s="1" t="s">
        <v>535</v>
      </c>
      <c r="C102" s="1">
        <v>4958.8422588117746</v>
      </c>
      <c r="D102" s="1">
        <v>398.78</v>
      </c>
      <c r="E102" s="1">
        <v>6.35</v>
      </c>
      <c r="F102" s="1">
        <v>139.69999999999999</v>
      </c>
      <c r="G102" s="1">
        <v>8.7629999999999981</v>
      </c>
      <c r="H102" s="1">
        <v>18.973799999999997</v>
      </c>
      <c r="I102" s="1">
        <v>26.987499999999997</v>
      </c>
      <c r="J102" s="1">
        <v>19.049999999999997</v>
      </c>
      <c r="K102" s="1">
        <v>344.80499999999995</v>
      </c>
      <c r="L102" s="1">
        <v>50.8</v>
      </c>
      <c r="M102" s="1">
        <v>10.210799999999999</v>
      </c>
      <c r="N102" s="1">
        <v>4958.8422588117746</v>
      </c>
      <c r="O102" s="1">
        <v>390.017</v>
      </c>
      <c r="P102" s="1">
        <v>0.16478294475950434</v>
      </c>
      <c r="Q102" s="1">
        <v>14.902527067014793</v>
      </c>
      <c r="R102" s="1">
        <v>125623536.56071965</v>
      </c>
      <c r="S102" s="1">
        <v>3993028.9114900501</v>
      </c>
      <c r="T102" s="1">
        <v>159.16418909963201</v>
      </c>
      <c r="U102" s="1">
        <v>28.376647188868606</v>
      </c>
      <c r="V102" s="1">
        <v>630039.30267676245</v>
      </c>
      <c r="W102" s="1">
        <v>57165.768238941309</v>
      </c>
      <c r="X102" s="1">
        <v>725062.24043603882</v>
      </c>
      <c r="Y102" s="1">
        <v>89841.302492600735</v>
      </c>
      <c r="Z102" s="1">
        <v>108988.50450585897</v>
      </c>
      <c r="AA102" s="1">
        <v>151425097901.69199</v>
      </c>
      <c r="AB102" s="1">
        <v>35.155572697098052</v>
      </c>
      <c r="AC102" s="1">
        <v>0</v>
      </c>
    </row>
    <row r="103" spans="1:29">
      <c r="A103" s="1">
        <v>100</v>
      </c>
      <c r="B103" s="1" t="s">
        <v>536</v>
      </c>
      <c r="C103" s="1">
        <v>5893.937162811776</v>
      </c>
      <c r="D103" s="1">
        <v>403.86</v>
      </c>
      <c r="E103" s="1">
        <v>6.9850000000000003</v>
      </c>
      <c r="F103" s="1">
        <v>140.46199999999999</v>
      </c>
      <c r="G103" s="1">
        <v>11.176</v>
      </c>
      <c r="H103" s="1">
        <v>21.386800000000001</v>
      </c>
      <c r="I103" s="1">
        <v>28.574999999999999</v>
      </c>
      <c r="J103" s="1">
        <v>19.049999999999997</v>
      </c>
      <c r="K103" s="1">
        <v>346.71000000000004</v>
      </c>
      <c r="L103" s="1">
        <v>51.180999999999997</v>
      </c>
      <c r="M103" s="1">
        <v>10.210800000000001</v>
      </c>
      <c r="N103" s="1">
        <v>5893.937162811776</v>
      </c>
      <c r="O103" s="1">
        <v>392.68400000000003</v>
      </c>
      <c r="P103" s="1">
        <v>0.14204076704545457</v>
      </c>
      <c r="Q103" s="1">
        <v>17.118870056270097</v>
      </c>
      <c r="R103" s="1">
        <v>156566383.55170196</v>
      </c>
      <c r="S103" s="1">
        <v>5176068.8756348249</v>
      </c>
      <c r="T103" s="1">
        <v>162.9845768885327</v>
      </c>
      <c r="U103" s="1">
        <v>29.634477380963503</v>
      </c>
      <c r="V103" s="1">
        <v>775349.79226317024</v>
      </c>
      <c r="W103" s="1">
        <v>73700.629004781731</v>
      </c>
      <c r="X103" s="1">
        <v>887468.27601102623</v>
      </c>
      <c r="Y103" s="1">
        <v>115419.01259667049</v>
      </c>
      <c r="Z103" s="1">
        <v>191899.75154604245</v>
      </c>
      <c r="AA103" s="1">
        <v>198993141181.13229</v>
      </c>
      <c r="AB103" s="1">
        <v>36.204102948621482</v>
      </c>
      <c r="AC103" s="1">
        <v>0</v>
      </c>
    </row>
    <row r="104" spans="1:29">
      <c r="A104" s="1">
        <v>101</v>
      </c>
      <c r="B104" s="1" t="s">
        <v>537</v>
      </c>
      <c r="C104" s="1">
        <v>6830.2578708117753</v>
      </c>
      <c r="D104" s="1">
        <v>403.86</v>
      </c>
      <c r="E104" s="1">
        <v>7.4929999999999994</v>
      </c>
      <c r="F104" s="1">
        <v>177.54599999999999</v>
      </c>
      <c r="G104" s="1">
        <v>10.921999999999999</v>
      </c>
      <c r="H104" s="1">
        <v>21.132799999999996</v>
      </c>
      <c r="I104" s="1">
        <v>28.574999999999999</v>
      </c>
      <c r="J104" s="1">
        <v>19.049999999999997</v>
      </c>
      <c r="K104" s="1">
        <v>346.71000000000004</v>
      </c>
      <c r="L104" s="1">
        <v>69.722999999999999</v>
      </c>
      <c r="M104" s="1">
        <v>10.210799999999997</v>
      </c>
      <c r="N104" s="1">
        <v>6830.2578708117753</v>
      </c>
      <c r="O104" s="1">
        <v>392.93799999999999</v>
      </c>
      <c r="P104" s="1">
        <v>0.14647275554353706</v>
      </c>
      <c r="Q104" s="1">
        <v>17.13718342787682</v>
      </c>
      <c r="R104" s="1">
        <v>187741014.6980077</v>
      </c>
      <c r="S104" s="1">
        <v>10204844.82712888</v>
      </c>
      <c r="T104" s="1">
        <v>165.79103019729908</v>
      </c>
      <c r="U104" s="1">
        <v>38.653128670378877</v>
      </c>
      <c r="V104" s="1">
        <v>929733.14860599069</v>
      </c>
      <c r="W104" s="1">
        <v>114954.37607300509</v>
      </c>
      <c r="X104" s="1">
        <v>1052234.2184797043</v>
      </c>
      <c r="Y104" s="1">
        <v>178046.32087528365</v>
      </c>
      <c r="Z104" s="1">
        <v>227075.37649017081</v>
      </c>
      <c r="AA104" s="1">
        <v>393252659372.64764</v>
      </c>
      <c r="AB104" s="1">
        <v>46.437738565347551</v>
      </c>
      <c r="AC104" s="1">
        <v>0</v>
      </c>
    </row>
    <row r="105" spans="1:29">
      <c r="A105" s="1">
        <v>102</v>
      </c>
      <c r="B105" s="1" t="s">
        <v>538</v>
      </c>
      <c r="C105" s="1">
        <v>8553.8995848117756</v>
      </c>
      <c r="D105" s="1">
        <v>408.94</v>
      </c>
      <c r="E105" s="1">
        <v>8.7629999999999981</v>
      </c>
      <c r="F105" s="1">
        <v>178.816</v>
      </c>
      <c r="G105" s="1">
        <v>14.350999999999997</v>
      </c>
      <c r="H105" s="1">
        <v>24.561799999999998</v>
      </c>
      <c r="I105" s="1">
        <v>31.75</v>
      </c>
      <c r="J105" s="1">
        <v>20.637499999999999</v>
      </c>
      <c r="K105" s="1">
        <v>345.44</v>
      </c>
      <c r="L105" s="1">
        <v>68.770499999999998</v>
      </c>
      <c r="M105" s="1">
        <v>10.210800000000001</v>
      </c>
      <c r="N105" s="1">
        <v>8553.8995848117756</v>
      </c>
      <c r="O105" s="1">
        <v>394.589</v>
      </c>
      <c r="P105" s="1">
        <v>0.12448815882214739</v>
      </c>
      <c r="Q105" s="1">
        <v>20.474649634769904</v>
      </c>
      <c r="R105" s="1">
        <v>243170155.18035787</v>
      </c>
      <c r="S105" s="1">
        <v>13701335.73554102</v>
      </c>
      <c r="T105" s="1">
        <v>168.60601427672719</v>
      </c>
      <c r="U105" s="1">
        <v>40.022054618222477</v>
      </c>
      <c r="V105" s="1">
        <v>1189270.5784729195</v>
      </c>
      <c r="W105" s="1">
        <v>153245.07578226802</v>
      </c>
      <c r="X105" s="1">
        <v>1346141.3960953795</v>
      </c>
      <c r="Y105" s="1">
        <v>237333.66284374063</v>
      </c>
      <c r="Z105" s="1">
        <v>463568.6073589545</v>
      </c>
      <c r="AA105" s="1">
        <v>532328843477.1922</v>
      </c>
      <c r="AB105" s="1">
        <v>47.675867703430114</v>
      </c>
      <c r="AC105" s="1">
        <v>0</v>
      </c>
    </row>
    <row r="106" spans="1:29">
      <c r="A106" s="1">
        <v>103</v>
      </c>
      <c r="B106" s="1" t="s">
        <v>539</v>
      </c>
      <c r="C106" s="1">
        <v>6641.096958811775</v>
      </c>
      <c r="D106" s="1">
        <v>449.58</v>
      </c>
      <c r="E106" s="1">
        <v>7.6199999999999992</v>
      </c>
      <c r="F106" s="1">
        <v>152.39999999999998</v>
      </c>
      <c r="G106" s="1">
        <v>10.795</v>
      </c>
      <c r="H106" s="1">
        <v>21.005800000000001</v>
      </c>
      <c r="I106" s="1">
        <v>28.574999999999999</v>
      </c>
      <c r="J106" s="1">
        <v>19.049999999999997</v>
      </c>
      <c r="K106" s="1">
        <v>392.43</v>
      </c>
      <c r="L106" s="1">
        <v>57.149999999999991</v>
      </c>
      <c r="M106" s="1">
        <v>10.210800000000001</v>
      </c>
      <c r="N106" s="1">
        <v>6641.096958811775</v>
      </c>
      <c r="O106" s="1">
        <v>438.78499999999997</v>
      </c>
      <c r="P106" s="1">
        <v>0.14805508650519034</v>
      </c>
      <c r="Q106" s="1">
        <v>17.092381285598048</v>
      </c>
      <c r="R106" s="1">
        <v>212199067.27513391</v>
      </c>
      <c r="S106" s="1">
        <v>6387767.4073605901</v>
      </c>
      <c r="T106" s="1">
        <v>178.75237667770753</v>
      </c>
      <c r="U106" s="1">
        <v>31.013775342126497</v>
      </c>
      <c r="V106" s="1">
        <v>943988.0211536719</v>
      </c>
      <c r="W106" s="1">
        <v>83828.968600532695</v>
      </c>
      <c r="X106" s="1">
        <v>1089767.6888458023</v>
      </c>
      <c r="Y106" s="1">
        <v>132118.89148869619</v>
      </c>
      <c r="Z106" s="1">
        <v>210500.47527105422</v>
      </c>
      <c r="AA106" s="1">
        <v>306527788062.32843</v>
      </c>
      <c r="AB106" s="1">
        <v>38.530282561460268</v>
      </c>
      <c r="AC106" s="1">
        <v>0</v>
      </c>
    </row>
    <row r="107" spans="1:29">
      <c r="A107" s="1">
        <v>104</v>
      </c>
      <c r="B107" s="1" t="s">
        <v>540</v>
      </c>
      <c r="C107" s="1">
        <v>7591.9015088117749</v>
      </c>
      <c r="D107" s="1">
        <v>454.65999999999991</v>
      </c>
      <c r="E107" s="1">
        <v>8.0009999999999994</v>
      </c>
      <c r="F107" s="1">
        <v>152.90799999999999</v>
      </c>
      <c r="G107" s="1">
        <v>13.334999999999999</v>
      </c>
      <c r="H107" s="1">
        <v>23.5458</v>
      </c>
      <c r="I107" s="1">
        <v>30.162499999999998</v>
      </c>
      <c r="J107" s="1">
        <v>20.637499999999999</v>
      </c>
      <c r="K107" s="1">
        <v>394.33499999999992</v>
      </c>
      <c r="L107" s="1">
        <v>55.816499999999991</v>
      </c>
      <c r="M107" s="1">
        <v>10.210800000000001</v>
      </c>
      <c r="N107" s="1">
        <v>7591.9015088117749</v>
      </c>
      <c r="O107" s="1">
        <v>441.32499999999993</v>
      </c>
      <c r="P107" s="1">
        <v>0.12829657142857148</v>
      </c>
      <c r="Q107" s="1">
        <v>19.317861060948083</v>
      </c>
      <c r="R107" s="1">
        <v>254912122.55403391</v>
      </c>
      <c r="S107" s="1">
        <v>7967829.1109141419</v>
      </c>
      <c r="T107" s="1">
        <v>183.23986450078527</v>
      </c>
      <c r="U107" s="1">
        <v>32.396248593874738</v>
      </c>
      <c r="V107" s="1">
        <v>1121330.7638852503</v>
      </c>
      <c r="W107" s="1">
        <v>104217.29550990324</v>
      </c>
      <c r="X107" s="1">
        <v>1285218.6080238272</v>
      </c>
      <c r="Y107" s="1">
        <v>163303.56799916737</v>
      </c>
      <c r="Z107" s="1">
        <v>337247.2919109877</v>
      </c>
      <c r="AA107" s="1">
        <v>386891743494.88647</v>
      </c>
      <c r="AB107" s="1">
        <v>39.597466859235318</v>
      </c>
      <c r="AC107" s="1">
        <v>0</v>
      </c>
    </row>
    <row r="108" spans="1:29">
      <c r="A108" s="1">
        <v>105</v>
      </c>
      <c r="B108" s="1" t="s">
        <v>541</v>
      </c>
      <c r="C108" s="1">
        <v>9467.0913068117752</v>
      </c>
      <c r="D108" s="1">
        <v>457.2</v>
      </c>
      <c r="E108" s="1">
        <v>9.0169999999999995</v>
      </c>
      <c r="F108" s="1">
        <v>190.5</v>
      </c>
      <c r="G108" s="1">
        <v>14.477999999999998</v>
      </c>
      <c r="H108" s="1">
        <v>24.688800000000001</v>
      </c>
      <c r="I108" s="1">
        <v>31.75</v>
      </c>
      <c r="J108" s="1">
        <v>20.637499999999999</v>
      </c>
      <c r="K108" s="1">
        <v>393.7</v>
      </c>
      <c r="L108" s="1">
        <v>74.612499999999997</v>
      </c>
      <c r="M108" s="1">
        <v>10.210800000000003</v>
      </c>
      <c r="N108" s="1">
        <v>9467.0913068117752</v>
      </c>
      <c r="O108" s="1">
        <v>442.72199999999998</v>
      </c>
      <c r="P108" s="1">
        <v>0.12481690520160049</v>
      </c>
      <c r="Q108" s="1">
        <v>20.686030822416299</v>
      </c>
      <c r="R108" s="1">
        <v>333420568.86163342</v>
      </c>
      <c r="S108" s="1">
        <v>16712390.029816503</v>
      </c>
      <c r="T108" s="1">
        <v>187.66699985527157</v>
      </c>
      <c r="U108" s="1">
        <v>42.015641461894866</v>
      </c>
      <c r="V108" s="1">
        <v>1458532.6721856231</v>
      </c>
      <c r="W108" s="1">
        <v>175458.16304269293</v>
      </c>
      <c r="X108" s="1">
        <v>1653426.0830434994</v>
      </c>
      <c r="Y108" s="1">
        <v>272017.47237175523</v>
      </c>
      <c r="Z108" s="1">
        <v>517326.21523146617</v>
      </c>
      <c r="AA108" s="1">
        <v>817418529245.34668</v>
      </c>
      <c r="AB108" s="1">
        <v>50.363018810788574</v>
      </c>
      <c r="AC108" s="1">
        <v>0</v>
      </c>
    </row>
    <row r="109" spans="1:29">
      <c r="A109" s="1">
        <v>106</v>
      </c>
      <c r="B109" s="1" t="s">
        <v>542</v>
      </c>
      <c r="C109" s="1">
        <v>8383.5961359999983</v>
      </c>
      <c r="D109" s="1">
        <v>525.78</v>
      </c>
      <c r="E109" s="1">
        <v>8.8899999999999988</v>
      </c>
      <c r="F109" s="1">
        <v>165.1</v>
      </c>
      <c r="G109" s="1">
        <v>11.43</v>
      </c>
      <c r="H109" s="1">
        <v>24.129999999999995</v>
      </c>
      <c r="I109" s="1">
        <v>28.574999999999999</v>
      </c>
      <c r="J109" s="1">
        <v>20.637499999999999</v>
      </c>
      <c r="K109" s="1">
        <v>468.63</v>
      </c>
      <c r="L109" s="1">
        <v>61.912499999999994</v>
      </c>
      <c r="M109" s="1">
        <v>12.699999999999996</v>
      </c>
      <c r="N109" s="1">
        <v>8383.5961359999983</v>
      </c>
      <c r="O109" s="1">
        <v>514.35</v>
      </c>
      <c r="P109" s="1">
        <v>0.16161111111111109</v>
      </c>
      <c r="Q109" s="1">
        <v>19.411293103448273</v>
      </c>
      <c r="R109" s="1">
        <v>352456932.94550502</v>
      </c>
      <c r="S109" s="1">
        <v>8610634.1250283066</v>
      </c>
      <c r="T109" s="1">
        <v>205.03965122732828</v>
      </c>
      <c r="U109" s="1">
        <v>32.048107858927281</v>
      </c>
      <c r="V109" s="1">
        <v>1340701.1789931341</v>
      </c>
      <c r="W109" s="1">
        <v>104308.10569386199</v>
      </c>
      <c r="X109" s="1">
        <v>1567182.1523297103</v>
      </c>
      <c r="Y109" s="1">
        <v>166724.4043663695</v>
      </c>
      <c r="Z109" s="1">
        <v>320863.98222844512</v>
      </c>
      <c r="AA109" s="1">
        <v>567013888674.60132</v>
      </c>
      <c r="AB109" s="1">
        <v>40.641146084929147</v>
      </c>
      <c r="AC109" s="1">
        <v>0</v>
      </c>
    </row>
    <row r="110" spans="1:29">
      <c r="A110" s="1">
        <v>107</v>
      </c>
      <c r="B110" s="1" t="s">
        <v>543</v>
      </c>
      <c r="C110" s="1">
        <v>9486.0542278535995</v>
      </c>
      <c r="D110" s="1">
        <v>528.31999999999994</v>
      </c>
      <c r="E110" s="1">
        <v>9.6519999999999992</v>
      </c>
      <c r="F110" s="1">
        <v>165.86199999999999</v>
      </c>
      <c r="G110" s="1">
        <v>13.589</v>
      </c>
      <c r="H110" s="1">
        <v>26.416</v>
      </c>
      <c r="I110" s="1">
        <v>31.75</v>
      </c>
      <c r="J110" s="1">
        <v>20.637499999999999</v>
      </c>
      <c r="K110" s="1">
        <v>464.81999999999994</v>
      </c>
      <c r="L110" s="1">
        <v>62.293499999999995</v>
      </c>
      <c r="M110" s="1">
        <v>12.827</v>
      </c>
      <c r="N110" s="1">
        <v>9486.0542278535995</v>
      </c>
      <c r="O110" s="1">
        <v>514.73099999999988</v>
      </c>
      <c r="P110" s="1">
        <v>0.14806533321687487</v>
      </c>
      <c r="Q110" s="1">
        <v>21.52999352750809</v>
      </c>
      <c r="R110" s="1">
        <v>408551189.9269864</v>
      </c>
      <c r="S110" s="1">
        <v>10380920.401414238</v>
      </c>
      <c r="T110" s="1">
        <v>207.52978606202808</v>
      </c>
      <c r="U110" s="1">
        <v>33.080733376441486</v>
      </c>
      <c r="V110" s="1">
        <v>1546605.0496933165</v>
      </c>
      <c r="W110" s="1">
        <v>125175.39160765261</v>
      </c>
      <c r="X110" s="1">
        <v>1801144.8746916954</v>
      </c>
      <c r="Y110" s="1">
        <v>199676.06233173001</v>
      </c>
      <c r="Z110" s="1">
        <v>476986.51025569468</v>
      </c>
      <c r="AA110" s="1">
        <v>684506537049.69189</v>
      </c>
      <c r="AB110" s="1">
        <v>41.562664649333627</v>
      </c>
      <c r="AC110" s="1">
        <v>0</v>
      </c>
    </row>
    <row r="111" spans="1:29">
      <c r="A111" s="1">
        <v>108</v>
      </c>
      <c r="B111" s="1" t="s">
        <v>544</v>
      </c>
      <c r="C111" s="1">
        <v>10813.913855999999</v>
      </c>
      <c r="D111" s="1">
        <v>535.94000000000005</v>
      </c>
      <c r="E111" s="1">
        <v>10.287000000000001</v>
      </c>
      <c r="F111" s="1">
        <v>166.62399999999997</v>
      </c>
      <c r="G111" s="1">
        <v>16.509999999999998</v>
      </c>
      <c r="H111" s="1">
        <v>29.209999999999994</v>
      </c>
      <c r="I111" s="1">
        <v>33.337499999999999</v>
      </c>
      <c r="J111" s="1">
        <v>20.637499999999999</v>
      </c>
      <c r="K111" s="1">
        <v>469.26500000000004</v>
      </c>
      <c r="L111" s="1">
        <v>62.674499999999981</v>
      </c>
      <c r="M111" s="1">
        <v>12.699999999999996</v>
      </c>
      <c r="N111" s="1">
        <v>10813.913855999999</v>
      </c>
      <c r="O111" s="1">
        <v>519.43000000000006</v>
      </c>
      <c r="P111" s="1">
        <v>0.130087426035503</v>
      </c>
      <c r="Q111" s="1">
        <v>24.107005303030302</v>
      </c>
      <c r="R111" s="1">
        <v>488843688.81897461</v>
      </c>
      <c r="S111" s="1">
        <v>12784637.010826675</v>
      </c>
      <c r="T111" s="1">
        <v>212.61482998543829</v>
      </c>
      <c r="U111" s="1">
        <v>34.383711016813088</v>
      </c>
      <c r="V111" s="1">
        <v>1824247.8218419023</v>
      </c>
      <c r="W111" s="1">
        <v>153454.92859163959</v>
      </c>
      <c r="X111" s="1">
        <v>2113823.47194811</v>
      </c>
      <c r="Y111" s="1">
        <v>243598.09213481541</v>
      </c>
      <c r="Z111" s="1">
        <v>739060.63969816663</v>
      </c>
      <c r="AA111" s="1">
        <v>858623078460.96594</v>
      </c>
      <c r="AB111" s="1">
        <v>42.662941865609803</v>
      </c>
      <c r="AC111" s="1">
        <v>0</v>
      </c>
    </row>
    <row r="112" spans="1:29">
      <c r="A112" s="1">
        <v>109</v>
      </c>
      <c r="B112" s="1" t="s">
        <v>545</v>
      </c>
      <c r="C112" s="1">
        <v>12924.305415853598</v>
      </c>
      <c r="D112" s="1">
        <v>535.94000000000005</v>
      </c>
      <c r="E112" s="1">
        <v>10.921999999999999</v>
      </c>
      <c r="F112" s="1">
        <v>210.05799999999996</v>
      </c>
      <c r="G112" s="1">
        <v>17.399000000000001</v>
      </c>
      <c r="H112" s="1">
        <v>30.225999999999999</v>
      </c>
      <c r="I112" s="1">
        <v>34.924999999999997</v>
      </c>
      <c r="J112" s="1">
        <v>22.224999999999998</v>
      </c>
      <c r="K112" s="1">
        <v>466.09000000000003</v>
      </c>
      <c r="L112" s="1">
        <v>82.803999999999988</v>
      </c>
      <c r="M112" s="1">
        <v>12.826999999999998</v>
      </c>
      <c r="N112" s="1">
        <v>12924.305415853598</v>
      </c>
      <c r="O112" s="1">
        <v>518.54100000000005</v>
      </c>
      <c r="P112" s="1">
        <v>0.12776519793276142</v>
      </c>
      <c r="Q112" s="1">
        <v>25.167353982300884</v>
      </c>
      <c r="R112" s="1">
        <v>614763171.67630756</v>
      </c>
      <c r="S112" s="1">
        <v>26942628.279555503</v>
      </c>
      <c r="T112" s="1">
        <v>218.09731303967652</v>
      </c>
      <c r="U112" s="1">
        <v>45.657946353581146</v>
      </c>
      <c r="V112" s="1">
        <v>2294149.2393786898</v>
      </c>
      <c r="W112" s="1">
        <v>256525.60987494414</v>
      </c>
      <c r="X112" s="1">
        <v>2615894.5346407299</v>
      </c>
      <c r="Y112" s="1">
        <v>399981.15288016695</v>
      </c>
      <c r="Z112" s="1">
        <v>1019269.9520984663</v>
      </c>
      <c r="AA112" s="1">
        <v>1806745271053.9053</v>
      </c>
      <c r="AB112" s="1">
        <v>55.180508606882618</v>
      </c>
      <c r="AC112" s="1">
        <v>0</v>
      </c>
    </row>
    <row r="113" spans="1:29">
      <c r="A113" s="1">
        <v>110</v>
      </c>
      <c r="B113" s="1" t="s">
        <v>546</v>
      </c>
      <c r="C113" s="1">
        <v>10465.8264618536</v>
      </c>
      <c r="D113" s="1">
        <v>599.44000000000005</v>
      </c>
      <c r="E113" s="1">
        <v>10.032999999999999</v>
      </c>
      <c r="F113" s="1">
        <v>178.05399999999997</v>
      </c>
      <c r="G113" s="1">
        <v>12.827</v>
      </c>
      <c r="H113" s="1">
        <v>25.654</v>
      </c>
      <c r="I113" s="1">
        <v>36.512499999999996</v>
      </c>
      <c r="J113" s="1">
        <v>25.4</v>
      </c>
      <c r="K113" s="1">
        <v>526.41500000000008</v>
      </c>
      <c r="L113" s="1">
        <v>63.626999999999988</v>
      </c>
      <c r="M113" s="1">
        <v>12.827</v>
      </c>
      <c r="N113" s="1">
        <v>10465.8264618536</v>
      </c>
      <c r="O113" s="1">
        <v>586.61300000000006</v>
      </c>
      <c r="P113" s="1">
        <v>0.15406509165768062</v>
      </c>
      <c r="Q113" s="1">
        <v>21.100966171617159</v>
      </c>
      <c r="R113" s="1">
        <v>562361386.56757736</v>
      </c>
      <c r="S113" s="1">
        <v>12125702.301737048</v>
      </c>
      <c r="T113" s="1">
        <v>231.80402991551824</v>
      </c>
      <c r="U113" s="1">
        <v>34.038207872356942</v>
      </c>
      <c r="V113" s="1">
        <v>1876289.1584398015</v>
      </c>
      <c r="W113" s="1">
        <v>136202.52621942837</v>
      </c>
      <c r="X113" s="1">
        <v>2205671.1781659354</v>
      </c>
      <c r="Y113" s="1">
        <v>218881.28409968058</v>
      </c>
      <c r="Z113" s="1">
        <v>493394.46970134065</v>
      </c>
      <c r="AA113" s="1">
        <v>1038179438296.8422</v>
      </c>
      <c r="AB113" s="1">
        <v>43.537592486080591</v>
      </c>
      <c r="AC113" s="1">
        <v>0</v>
      </c>
    </row>
    <row r="114" spans="1:29">
      <c r="A114" s="1">
        <v>111</v>
      </c>
      <c r="B114" s="1" t="s">
        <v>547</v>
      </c>
      <c r="C114" s="1">
        <v>11745.395863999998</v>
      </c>
      <c r="D114" s="1">
        <v>601.9799999999999</v>
      </c>
      <c r="E114" s="1">
        <v>10.921999999999999</v>
      </c>
      <c r="F114" s="1">
        <v>178.816</v>
      </c>
      <c r="G114" s="1">
        <v>14.985999999999999</v>
      </c>
      <c r="H114" s="1">
        <v>27.686</v>
      </c>
      <c r="I114" s="1">
        <v>38.099999999999994</v>
      </c>
      <c r="J114" s="1">
        <v>26.987499999999997</v>
      </c>
      <c r="K114" s="1">
        <v>525.78</v>
      </c>
      <c r="L114" s="1">
        <v>62.420500000000004</v>
      </c>
      <c r="M114" s="1">
        <v>12.700000000000001</v>
      </c>
      <c r="N114" s="1">
        <v>11745.395863999998</v>
      </c>
      <c r="O114" s="1">
        <v>586.99399999999991</v>
      </c>
      <c r="P114" s="1">
        <v>0.14165771330077565</v>
      </c>
      <c r="Q114" s="1">
        <v>23.152738993710692</v>
      </c>
      <c r="R114" s="1">
        <v>643214412.89329267</v>
      </c>
      <c r="S114" s="1">
        <v>14353253.470505049</v>
      </c>
      <c r="T114" s="1">
        <v>234.01519312421775</v>
      </c>
      <c r="U114" s="1">
        <v>34.957579001750005</v>
      </c>
      <c r="V114" s="1">
        <v>2136995.9563217806</v>
      </c>
      <c r="W114" s="1">
        <v>160536.56798614273</v>
      </c>
      <c r="X114" s="1">
        <v>2505595.0742097897</v>
      </c>
      <c r="Y114" s="1">
        <v>257797.44621992149</v>
      </c>
      <c r="Z114" s="1">
        <v>709858.11054712976</v>
      </c>
      <c r="AA114" s="1">
        <v>1230158121110.6675</v>
      </c>
      <c r="AB114" s="1">
        <v>44.399201560921824</v>
      </c>
      <c r="AC114" s="1">
        <v>0</v>
      </c>
    </row>
    <row r="115" spans="1:29">
      <c r="A115" s="1">
        <v>112</v>
      </c>
      <c r="B115" s="1" t="s">
        <v>548</v>
      </c>
      <c r="C115" s="1">
        <v>12944.337633853598</v>
      </c>
      <c r="D115" s="1">
        <v>601.9799999999999</v>
      </c>
      <c r="E115" s="1">
        <v>10.540999999999999</v>
      </c>
      <c r="F115" s="1">
        <v>227.83799999999999</v>
      </c>
      <c r="G115" s="1">
        <v>14.858999999999998</v>
      </c>
      <c r="H115" s="1">
        <v>27.686</v>
      </c>
      <c r="I115" s="1">
        <v>47.625</v>
      </c>
      <c r="J115" s="1">
        <v>36.512499999999996</v>
      </c>
      <c r="K115" s="1">
        <v>506.7299999999999</v>
      </c>
      <c r="L115" s="1">
        <v>77.406499999999994</v>
      </c>
      <c r="M115" s="1">
        <v>12.827000000000002</v>
      </c>
      <c r="N115" s="1">
        <v>12944.337633853598</v>
      </c>
      <c r="O115" s="1">
        <v>587.12099999999987</v>
      </c>
      <c r="P115" s="1">
        <v>0.14201271093578791</v>
      </c>
      <c r="Q115" s="1">
        <v>22.943306426332285</v>
      </c>
      <c r="R115" s="1">
        <v>759579135.7865212</v>
      </c>
      <c r="S115" s="1">
        <v>29355842.167858712</v>
      </c>
      <c r="T115" s="1">
        <v>242.24041247479511</v>
      </c>
      <c r="U115" s="1">
        <v>47.621969862825715</v>
      </c>
      <c r="V115" s="1">
        <v>2523602.5641600098</v>
      </c>
      <c r="W115" s="1">
        <v>257690.48330707531</v>
      </c>
      <c r="X115" s="1">
        <v>2890674.2653463618</v>
      </c>
      <c r="Y115" s="1">
        <v>402711.91307887441</v>
      </c>
      <c r="Z115" s="1">
        <v>779960.06938110944</v>
      </c>
      <c r="AA115" s="1">
        <v>2524131919130.3633</v>
      </c>
      <c r="AB115" s="1">
        <v>58.436689050977712</v>
      </c>
      <c r="AC115" s="1">
        <v>0</v>
      </c>
    </row>
    <row r="116" spans="1:29">
      <c r="A116" s="1">
        <v>113</v>
      </c>
      <c r="B116" s="1" t="s">
        <v>549</v>
      </c>
      <c r="C116" s="1">
        <v>14424.874376000002</v>
      </c>
      <c r="D116" s="1">
        <v>607.05999999999995</v>
      </c>
      <c r="E116" s="1">
        <v>11.176</v>
      </c>
      <c r="F116" s="1">
        <v>228.346</v>
      </c>
      <c r="G116" s="1">
        <v>17.272000000000002</v>
      </c>
      <c r="H116" s="1">
        <v>29.971999999999998</v>
      </c>
      <c r="I116" s="1">
        <v>49.212499999999999</v>
      </c>
      <c r="J116" s="1">
        <v>36.512499999999996</v>
      </c>
      <c r="K116" s="1">
        <v>508.63499999999993</v>
      </c>
      <c r="L116" s="1">
        <v>77.660500000000013</v>
      </c>
      <c r="M116" s="1">
        <v>12.699999999999996</v>
      </c>
      <c r="N116" s="1">
        <v>14424.874376000002</v>
      </c>
      <c r="O116" s="1">
        <v>589.7879999999999</v>
      </c>
      <c r="P116" s="1">
        <v>0.1288434256055363</v>
      </c>
      <c r="Q116" s="1">
        <v>25.109714285714283</v>
      </c>
      <c r="R116" s="1">
        <v>872047401.68856943</v>
      </c>
      <c r="S116" s="1">
        <v>34351743.507049561</v>
      </c>
      <c r="T116" s="1">
        <v>245.87480380941903</v>
      </c>
      <c r="U116" s="1">
        <v>48.79983711018567</v>
      </c>
      <c r="V116" s="1">
        <v>2873018.8175421525</v>
      </c>
      <c r="W116" s="1">
        <v>300874.4931555583</v>
      </c>
      <c r="X116" s="1">
        <v>3281161.4164933581</v>
      </c>
      <c r="Y116" s="1">
        <v>469341.07061569759</v>
      </c>
      <c r="Z116" s="1">
        <v>1115840.3162880654</v>
      </c>
      <c r="AA116" s="1">
        <v>2980598487393.5405</v>
      </c>
      <c r="AB116" s="1">
        <v>59.379717227131927</v>
      </c>
      <c r="AC116" s="1">
        <v>0</v>
      </c>
    </row>
    <row r="117" spans="1:29">
      <c r="A117" s="1">
        <v>114</v>
      </c>
      <c r="B117" s="1" t="s">
        <v>550</v>
      </c>
      <c r="C117" s="1">
        <v>15941.000375999998</v>
      </c>
      <c r="D117" s="1">
        <v>612.14</v>
      </c>
      <c r="E117" s="1">
        <v>11.937999999999999</v>
      </c>
      <c r="F117" s="1">
        <v>229.10799999999998</v>
      </c>
      <c r="G117" s="1">
        <v>19.558</v>
      </c>
      <c r="H117" s="1">
        <v>32.257999999999996</v>
      </c>
      <c r="I117" s="1">
        <v>52.387499999999996</v>
      </c>
      <c r="J117" s="1">
        <v>36.512499999999996</v>
      </c>
      <c r="K117" s="1">
        <v>507.36500000000001</v>
      </c>
      <c r="L117" s="1">
        <v>78.041499999999985</v>
      </c>
      <c r="M117" s="1">
        <v>12.699999999999996</v>
      </c>
      <c r="N117" s="1">
        <v>15941.000375999998</v>
      </c>
      <c r="O117" s="1">
        <v>592.58199999999999</v>
      </c>
      <c r="P117" s="1">
        <v>0.11930080958003032</v>
      </c>
      <c r="Q117" s="1">
        <v>27.310381355932204</v>
      </c>
      <c r="R117" s="1">
        <v>985352559.49076402</v>
      </c>
      <c r="S117" s="1">
        <v>39293471.12818604</v>
      </c>
      <c r="T117" s="1">
        <v>248.62113141806057</v>
      </c>
      <c r="U117" s="1">
        <v>49.648074704211929</v>
      </c>
      <c r="V117" s="1">
        <v>3219369.94638731</v>
      </c>
      <c r="W117" s="1">
        <v>343012.65017534129</v>
      </c>
      <c r="X117" s="1">
        <v>3674552.4867419018</v>
      </c>
      <c r="Y117" s="1">
        <v>534939.78238575335</v>
      </c>
      <c r="Z117" s="1">
        <v>1538927.3162274123</v>
      </c>
      <c r="AA117" s="1">
        <v>3441366077218.4868</v>
      </c>
      <c r="AB117" s="1">
        <v>60.135923512503631</v>
      </c>
      <c r="AC117" s="1">
        <v>0</v>
      </c>
    </row>
    <row r="118" spans="1:29">
      <c r="A118" s="1">
        <v>115</v>
      </c>
      <c r="B118" s="1" t="s">
        <v>551</v>
      </c>
      <c r="C118" s="1">
        <v>22196.471736</v>
      </c>
      <c r="D118" s="1">
        <v>617.22</v>
      </c>
      <c r="E118" s="1">
        <v>13.97</v>
      </c>
      <c r="F118" s="1">
        <v>325.12</v>
      </c>
      <c r="G118" s="1">
        <v>21.59</v>
      </c>
      <c r="H118" s="1">
        <v>34.290000000000006</v>
      </c>
      <c r="I118" s="1">
        <v>53.974999999999994</v>
      </c>
      <c r="J118" s="1">
        <v>38.099999999999994</v>
      </c>
      <c r="K118" s="1">
        <v>509.27000000000004</v>
      </c>
      <c r="L118" s="1">
        <v>124.46000000000001</v>
      </c>
      <c r="M118" s="1">
        <v>12.700000000000006</v>
      </c>
      <c r="N118" s="1">
        <v>22196.471736000003</v>
      </c>
      <c r="O118" s="1">
        <v>595.63</v>
      </c>
      <c r="P118" s="1">
        <v>0.11707439446366784</v>
      </c>
      <c r="Q118" s="1">
        <v>29.836418918918927</v>
      </c>
      <c r="R118" s="1">
        <v>1477083427.551836</v>
      </c>
      <c r="S118" s="1">
        <v>123805471.84333637</v>
      </c>
      <c r="T118" s="1">
        <v>257.96485364823752</v>
      </c>
      <c r="U118" s="1">
        <v>74.684064738761791</v>
      </c>
      <c r="V118" s="1">
        <v>4786246.1603701627</v>
      </c>
      <c r="W118" s="1">
        <v>761598.62108351605</v>
      </c>
      <c r="X118" s="1">
        <v>5371130.8192558708</v>
      </c>
      <c r="Y118" s="1">
        <v>1170431.4188838096</v>
      </c>
      <c r="Z118" s="1">
        <v>2797263.6961432807</v>
      </c>
      <c r="AA118" s="1">
        <v>10967953152195.984</v>
      </c>
      <c r="AB118" s="1">
        <v>87.7699171404212</v>
      </c>
      <c r="AC118" s="1">
        <v>1.6389896783421441E-16</v>
      </c>
    </row>
    <row r="119" spans="1:29">
      <c r="A119" s="1">
        <v>116</v>
      </c>
      <c r="B119" s="1" t="s">
        <v>552</v>
      </c>
      <c r="C119" s="1">
        <v>24931.240459999994</v>
      </c>
      <c r="D119" s="1">
        <v>622.29999999999995</v>
      </c>
      <c r="E119" s="1">
        <v>15.366999999999999</v>
      </c>
      <c r="F119" s="1">
        <v>327.65999999999997</v>
      </c>
      <c r="G119" s="1">
        <v>24.383999999999997</v>
      </c>
      <c r="H119" s="1">
        <v>37.083999999999996</v>
      </c>
      <c r="I119" s="1">
        <v>57.15</v>
      </c>
      <c r="J119" s="1">
        <v>38.099999999999994</v>
      </c>
      <c r="K119" s="1">
        <v>507.99999999999994</v>
      </c>
      <c r="L119" s="1">
        <v>125.72999999999999</v>
      </c>
      <c r="M119" s="1">
        <v>12.7</v>
      </c>
      <c r="N119" s="1">
        <v>24931.240459999994</v>
      </c>
      <c r="O119" s="1">
        <v>597.91599999999994</v>
      </c>
      <c r="P119" s="1">
        <v>0.11029268391927083</v>
      </c>
      <c r="Q119" s="1">
        <v>32.729795280612244</v>
      </c>
      <c r="R119" s="1">
        <v>1681711062.1936359</v>
      </c>
      <c r="S119" s="1">
        <v>143152649.11247775</v>
      </c>
      <c r="T119" s="1">
        <v>259.71901477641046</v>
      </c>
      <c r="U119" s="1">
        <v>75.775315084412043</v>
      </c>
      <c r="V119" s="1">
        <v>5404824.2397352923</v>
      </c>
      <c r="W119" s="1">
        <v>873787.76239075721</v>
      </c>
      <c r="X119" s="1">
        <v>6080158.0207470162</v>
      </c>
      <c r="Y119" s="1">
        <v>1344261.913593092</v>
      </c>
      <c r="Z119" s="1">
        <v>3965396.6991803097</v>
      </c>
      <c r="AA119" s="1">
        <v>12777454377468.76</v>
      </c>
      <c r="AB119" s="1">
        <v>88.984424608895395</v>
      </c>
      <c r="AC119" s="1">
        <v>0</v>
      </c>
    </row>
    <row r="120" spans="1:29">
      <c r="A120" s="1">
        <v>117</v>
      </c>
      <c r="B120" s="1" t="s">
        <v>553</v>
      </c>
      <c r="C120" s="1">
        <v>10875.949600000002</v>
      </c>
      <c r="D120" s="1">
        <v>254</v>
      </c>
      <c r="E120" s="1">
        <v>14.4</v>
      </c>
      <c r="F120" s="1">
        <v>260</v>
      </c>
      <c r="G120" s="1">
        <v>14.4</v>
      </c>
      <c r="H120" s="1">
        <v>27.4</v>
      </c>
      <c r="I120" s="1">
        <v>30</v>
      </c>
      <c r="J120" s="1">
        <v>20.2</v>
      </c>
      <c r="K120" s="1">
        <v>194</v>
      </c>
      <c r="L120" s="1">
        <v>109.8</v>
      </c>
      <c r="M120" s="1">
        <v>12.999999999999998</v>
      </c>
      <c r="N120" s="1">
        <v>10875.949600000002</v>
      </c>
      <c r="O120" s="1">
        <v>239.6</v>
      </c>
      <c r="P120" s="1">
        <v>0.15018749999999997</v>
      </c>
      <c r="Q120" s="1">
        <v>24.499999999999996</v>
      </c>
      <c r="R120" s="1">
        <v>123049217.58616659</v>
      </c>
      <c r="S120" s="1">
        <v>42254103.437029198</v>
      </c>
      <c r="T120" s="1">
        <v>106.36673662195318</v>
      </c>
      <c r="U120" s="1">
        <v>62.330534684452637</v>
      </c>
      <c r="V120" s="1">
        <v>968891.47705642984</v>
      </c>
      <c r="W120" s="1">
        <v>325031.56490022462</v>
      </c>
      <c r="X120" s="1">
        <v>1095550.1301766336</v>
      </c>
      <c r="Y120" s="1">
        <v>499860.11990336643</v>
      </c>
      <c r="Z120" s="1">
        <v>831884.32564143743</v>
      </c>
      <c r="AA120" s="1">
        <v>605403492096</v>
      </c>
      <c r="AB120" s="1">
        <v>72.28118880744168</v>
      </c>
      <c r="AC120" s="1">
        <v>0</v>
      </c>
    </row>
    <row r="121" spans="1:29">
      <c r="A121" s="1">
        <v>118</v>
      </c>
      <c r="B121" s="1" t="s">
        <v>554</v>
      </c>
      <c r="C121" s="1">
        <v>15874.019999999997</v>
      </c>
      <c r="D121" s="1">
        <v>312</v>
      </c>
      <c r="E121" s="1">
        <v>17.399999999999999</v>
      </c>
      <c r="F121" s="1">
        <v>312</v>
      </c>
      <c r="G121" s="1">
        <v>17.399999999999999</v>
      </c>
      <c r="H121" s="1">
        <v>32.4</v>
      </c>
      <c r="I121" s="1">
        <v>35</v>
      </c>
      <c r="J121" s="1">
        <v>23.7</v>
      </c>
      <c r="K121" s="1">
        <v>242</v>
      </c>
      <c r="L121" s="1">
        <v>132.30000000000001</v>
      </c>
      <c r="M121" s="1">
        <v>15</v>
      </c>
      <c r="N121" s="1">
        <v>15874.019999999997</v>
      </c>
      <c r="O121" s="1">
        <v>294.60000000000002</v>
      </c>
      <c r="P121" s="1">
        <v>0.14817241379310347</v>
      </c>
      <c r="Q121" s="1">
        <v>29.250000000000004</v>
      </c>
      <c r="R121" s="1">
        <v>270273955.54582983</v>
      </c>
      <c r="S121" s="1">
        <v>88228108.135732681</v>
      </c>
      <c r="T121" s="1">
        <v>130.48441333395408</v>
      </c>
      <c r="U121" s="1">
        <v>74.552124129737535</v>
      </c>
      <c r="V121" s="1">
        <v>1732525.3560630118</v>
      </c>
      <c r="W121" s="1">
        <v>565564.79574187612</v>
      </c>
      <c r="X121" s="1">
        <v>1959699.8685671999</v>
      </c>
      <c r="Y121" s="1">
        <v>870201.50543279992</v>
      </c>
      <c r="Z121" s="1">
        <v>1760936.3082405964</v>
      </c>
      <c r="AA121" s="1">
        <v>1911028982773.248</v>
      </c>
      <c r="AB121" s="1">
        <v>86.609405418452198</v>
      </c>
      <c r="AC121" s="1">
        <v>0</v>
      </c>
    </row>
    <row r="122" spans="1:29">
      <c r="A122" s="1">
        <v>119</v>
      </c>
      <c r="B122" s="1" t="s">
        <v>555</v>
      </c>
      <c r="C122" s="1">
        <v>16577.14</v>
      </c>
      <c r="D122" s="1">
        <v>352</v>
      </c>
      <c r="E122" s="1">
        <v>16</v>
      </c>
      <c r="F122" s="1">
        <v>352</v>
      </c>
      <c r="G122" s="1">
        <v>16</v>
      </c>
      <c r="H122" s="1">
        <v>31</v>
      </c>
      <c r="I122" s="1">
        <v>35</v>
      </c>
      <c r="J122" s="1">
        <v>23</v>
      </c>
      <c r="K122" s="1">
        <v>282</v>
      </c>
      <c r="L122" s="1">
        <v>153</v>
      </c>
      <c r="M122" s="1">
        <v>15</v>
      </c>
      <c r="N122" s="1">
        <v>16577.14</v>
      </c>
      <c r="O122" s="1">
        <v>336</v>
      </c>
      <c r="P122" s="1">
        <v>0.15190625000000002</v>
      </c>
      <c r="Q122" s="1">
        <v>27.5</v>
      </c>
      <c r="R122" s="1">
        <v>366587094.05143929</v>
      </c>
      <c r="S122" s="1">
        <v>116440183.14086013</v>
      </c>
      <c r="T122" s="1">
        <v>148.70781175447388</v>
      </c>
      <c r="U122" s="1">
        <v>83.810153733987804</v>
      </c>
      <c r="V122" s="1">
        <v>2082881.2162013596</v>
      </c>
      <c r="W122" s="1">
        <v>661591.94966397795</v>
      </c>
      <c r="X122" s="1">
        <v>2332207.2805671999</v>
      </c>
      <c r="Y122" s="1">
        <v>1013904.2394328</v>
      </c>
      <c r="Z122" s="1">
        <v>1544330.8544466144</v>
      </c>
      <c r="AA122" s="1">
        <v>3282579750912</v>
      </c>
      <c r="AB122" s="1">
        <v>96.911168272388892</v>
      </c>
      <c r="AC122" s="1">
        <v>0</v>
      </c>
    </row>
    <row r="123" spans="1:29">
      <c r="A123" s="1">
        <v>120</v>
      </c>
      <c r="B123" s="1" t="s">
        <v>556</v>
      </c>
      <c r="C123" s="1">
        <v>18769.14</v>
      </c>
      <c r="D123" s="1">
        <v>356</v>
      </c>
      <c r="E123" s="1">
        <v>18</v>
      </c>
      <c r="F123" s="1">
        <v>356</v>
      </c>
      <c r="G123" s="1">
        <v>18</v>
      </c>
      <c r="H123" s="1">
        <v>33</v>
      </c>
      <c r="I123" s="1">
        <v>35</v>
      </c>
      <c r="J123" s="1">
        <v>24</v>
      </c>
      <c r="K123" s="1">
        <v>286</v>
      </c>
      <c r="L123" s="1">
        <v>154</v>
      </c>
      <c r="M123" s="1">
        <v>15</v>
      </c>
      <c r="N123" s="1">
        <v>18769.14</v>
      </c>
      <c r="O123" s="1">
        <v>338</v>
      </c>
      <c r="P123" s="1">
        <v>0.14674999999999999</v>
      </c>
      <c r="Q123" s="1">
        <v>30</v>
      </c>
      <c r="R123" s="1">
        <v>420276800.71810597</v>
      </c>
      <c r="S123" s="1">
        <v>135540547.42639238</v>
      </c>
      <c r="T123" s="1">
        <v>149.63924969169136</v>
      </c>
      <c r="U123" s="1">
        <v>84.979159399380762</v>
      </c>
      <c r="V123" s="1">
        <v>2361105.6220118315</v>
      </c>
      <c r="W123" s="1">
        <v>761463.74958647403</v>
      </c>
      <c r="X123" s="1">
        <v>2656959.2805671999</v>
      </c>
      <c r="Y123" s="1">
        <v>1168929.3794328</v>
      </c>
      <c r="Z123" s="1">
        <v>2199853.08</v>
      </c>
      <c r="AA123" s="1">
        <v>3865846964928</v>
      </c>
      <c r="AB123" s="1">
        <v>98.496378412924727</v>
      </c>
      <c r="AC123" s="1">
        <v>0</v>
      </c>
    </row>
    <row r="124" spans="1:29">
      <c r="A124" s="1">
        <v>121</v>
      </c>
      <c r="B124" s="1" t="s">
        <v>557</v>
      </c>
      <c r="C124" s="1">
        <v>20993.14</v>
      </c>
      <c r="D124" s="1">
        <v>360</v>
      </c>
      <c r="E124" s="1">
        <v>20</v>
      </c>
      <c r="F124" s="1">
        <v>360</v>
      </c>
      <c r="G124" s="1">
        <v>20</v>
      </c>
      <c r="H124" s="1">
        <v>35</v>
      </c>
      <c r="I124" s="1">
        <v>35</v>
      </c>
      <c r="J124" s="1">
        <v>25</v>
      </c>
      <c r="K124" s="1">
        <v>290</v>
      </c>
      <c r="L124" s="1">
        <v>155</v>
      </c>
      <c r="M124" s="1">
        <v>15</v>
      </c>
      <c r="N124" s="1">
        <v>20993.14</v>
      </c>
      <c r="O124" s="1">
        <v>340</v>
      </c>
      <c r="P124" s="1">
        <v>0.142625</v>
      </c>
      <c r="Q124" s="1">
        <v>32.5</v>
      </c>
      <c r="R124" s="1">
        <v>475994326.05143929</v>
      </c>
      <c r="S124" s="1">
        <v>155769276.65859133</v>
      </c>
      <c r="T124" s="1">
        <v>150.57822968267931</v>
      </c>
      <c r="U124" s="1">
        <v>86.139471046810613</v>
      </c>
      <c r="V124" s="1">
        <v>2644412.9225079962</v>
      </c>
      <c r="W124" s="1">
        <v>865384.87032550736</v>
      </c>
      <c r="X124" s="1">
        <v>2990255.2805671999</v>
      </c>
      <c r="Y124" s="1">
        <v>1330578.5194327999</v>
      </c>
      <c r="Z124" s="1">
        <v>3024376.5071614585</v>
      </c>
      <c r="AA124" s="1">
        <v>4494528000000</v>
      </c>
      <c r="AB124" s="1">
        <v>100.06926890690119</v>
      </c>
      <c r="AC124" s="1">
        <v>0</v>
      </c>
    </row>
    <row r="125" spans="1:29">
      <c r="A125" s="1">
        <v>122</v>
      </c>
      <c r="B125" s="1" t="s">
        <v>558</v>
      </c>
      <c r="C125" s="1">
        <v>27857.14</v>
      </c>
      <c r="D125" s="1">
        <v>372</v>
      </c>
      <c r="E125" s="1">
        <v>26</v>
      </c>
      <c r="F125" s="1">
        <v>372</v>
      </c>
      <c r="G125" s="1">
        <v>26</v>
      </c>
      <c r="H125" s="1">
        <v>41</v>
      </c>
      <c r="I125" s="1">
        <v>45</v>
      </c>
      <c r="J125" s="1">
        <v>28</v>
      </c>
      <c r="K125" s="1">
        <v>282</v>
      </c>
      <c r="L125" s="1">
        <v>158</v>
      </c>
      <c r="M125" s="1">
        <v>15</v>
      </c>
      <c r="N125" s="1">
        <v>27857.14</v>
      </c>
      <c r="O125" s="1">
        <v>346</v>
      </c>
      <c r="P125" s="1">
        <v>0.13405769230769232</v>
      </c>
      <c r="Q125" s="1">
        <v>40</v>
      </c>
      <c r="R125" s="1">
        <v>655774614.0514394</v>
      </c>
      <c r="S125" s="1">
        <v>223596854.03518814</v>
      </c>
      <c r="T125" s="1">
        <v>153.42955903443396</v>
      </c>
      <c r="U125" s="1">
        <v>89.591040611396309</v>
      </c>
      <c r="V125" s="1">
        <v>3525669.9680184913</v>
      </c>
      <c r="W125" s="1">
        <v>1202133.6238450976</v>
      </c>
      <c r="X125" s="1">
        <v>4042367.2805671999</v>
      </c>
      <c r="Y125" s="1">
        <v>1856229.9394328</v>
      </c>
      <c r="Z125" s="1">
        <v>6728066.7979487181</v>
      </c>
      <c r="AA125" s="1">
        <v>6676411914432</v>
      </c>
      <c r="AB125" s="1">
        <v>104.74542610789841</v>
      </c>
      <c r="AC125" s="1">
        <v>0</v>
      </c>
    </row>
    <row r="126" spans="1:2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00"/>
  <sheetViews>
    <sheetView workbookViewId="0"/>
  </sheetViews>
  <sheetFormatPr baseColWidth="10" defaultColWidth="8.6640625" defaultRowHeight="14"/>
  <cols>
    <col min="1" max="1" width="6.58203125" customWidth="1"/>
    <col min="2" max="2" width="6.6640625" customWidth="1"/>
    <col min="3" max="3" width="6.9140625" customWidth="1"/>
    <col min="4" max="4" width="11.1640625" customWidth="1"/>
    <col min="5" max="5" width="14.1640625" customWidth="1"/>
    <col min="6" max="6" width="10.9140625" customWidth="1"/>
    <col min="7" max="7" width="10.08203125" customWidth="1"/>
    <col min="9" max="9" width="5.4140625" customWidth="1"/>
    <col min="10" max="10" width="7.1640625" customWidth="1"/>
    <col min="11" max="11" width="10" customWidth="1"/>
    <col min="13" max="13" width="4.1640625" customWidth="1"/>
    <col min="14" max="14" width="6.6640625" customWidth="1"/>
    <col min="15" max="15" width="10.4140625" customWidth="1"/>
    <col min="17" max="17" width="4.58203125" customWidth="1"/>
    <col min="19" max="19" width="9.1640625" customWidth="1"/>
    <col min="21" max="21" width="16.4140625" customWidth="1"/>
    <col min="23" max="23" width="18.6640625" customWidth="1"/>
    <col min="25" max="25" width="13.9140625" customWidth="1"/>
    <col min="26" max="26" width="5.9140625" customWidth="1"/>
    <col min="27" max="27" width="6.08203125" customWidth="1"/>
  </cols>
  <sheetData>
    <row r="1" spans="1:29" ht="28">
      <c r="A1" s="8" t="s">
        <v>559</v>
      </c>
      <c r="B1" s="8" t="s">
        <v>560</v>
      </c>
      <c r="C1" s="8" t="s">
        <v>561</v>
      </c>
      <c r="D1" s="8" t="s">
        <v>562</v>
      </c>
      <c r="E1" s="8" t="s">
        <v>563</v>
      </c>
      <c r="F1" s="8" t="s">
        <v>564</v>
      </c>
      <c r="G1" s="8" t="s">
        <v>565</v>
      </c>
      <c r="H1" s="8"/>
      <c r="I1" s="8" t="s">
        <v>566</v>
      </c>
      <c r="J1" s="8" t="s">
        <v>567</v>
      </c>
      <c r="K1" s="8" t="s">
        <v>560</v>
      </c>
      <c r="L1" s="8"/>
      <c r="M1" s="8" t="s">
        <v>568</v>
      </c>
      <c r="N1" s="8" t="s">
        <v>569</v>
      </c>
      <c r="O1" s="8" t="s">
        <v>570</v>
      </c>
      <c r="P1" s="8"/>
      <c r="Q1" s="8" t="s">
        <v>571</v>
      </c>
      <c r="R1" s="8"/>
      <c r="S1" s="8" t="s">
        <v>572</v>
      </c>
      <c r="T1" s="8"/>
      <c r="U1" s="8" t="s">
        <v>573</v>
      </c>
      <c r="V1" s="8"/>
      <c r="W1" s="8" t="s">
        <v>574</v>
      </c>
      <c r="X1" s="8"/>
      <c r="Y1" s="8" t="s">
        <v>575</v>
      </c>
      <c r="Z1" s="8" t="s">
        <v>576</v>
      </c>
      <c r="AA1" s="8" t="s">
        <v>577</v>
      </c>
      <c r="AB1" s="8"/>
      <c r="AC1" s="8"/>
    </row>
    <row r="2" spans="1:29" ht="28">
      <c r="A2" s="1">
        <v>19.05</v>
      </c>
      <c r="B2" s="1" t="s">
        <v>578</v>
      </c>
      <c r="C2" s="1">
        <v>0.75</v>
      </c>
      <c r="D2" s="1">
        <v>10</v>
      </c>
      <c r="E2" s="1">
        <v>20.64</v>
      </c>
      <c r="F2" s="1">
        <v>34.93</v>
      </c>
      <c r="G2" s="1">
        <v>28.58</v>
      </c>
      <c r="H2" s="1"/>
      <c r="I2" s="1">
        <v>6.35</v>
      </c>
      <c r="J2" s="1">
        <v>0.25</v>
      </c>
      <c r="K2" s="1" t="s">
        <v>579</v>
      </c>
      <c r="L2" s="1"/>
      <c r="M2" s="1" t="s">
        <v>580</v>
      </c>
      <c r="N2" s="1">
        <v>6.35</v>
      </c>
      <c r="O2" s="1">
        <v>0.31669217443593606</v>
      </c>
      <c r="P2" s="1"/>
      <c r="Q2" s="1" t="s">
        <v>48</v>
      </c>
      <c r="R2" s="1"/>
      <c r="S2" s="1" t="s">
        <v>51</v>
      </c>
      <c r="T2" s="1"/>
      <c r="U2" s="1">
        <v>75</v>
      </c>
      <c r="V2" s="1"/>
      <c r="W2" s="1">
        <v>3</v>
      </c>
      <c r="X2" s="1"/>
      <c r="Y2" s="1" t="s">
        <v>581</v>
      </c>
      <c r="Z2" s="1">
        <v>248</v>
      </c>
      <c r="AA2" s="1">
        <v>410</v>
      </c>
      <c r="AB2" s="1"/>
      <c r="AC2" s="1"/>
    </row>
    <row r="3" spans="1:29" ht="28">
      <c r="A3" s="1">
        <v>22.225000000000001</v>
      </c>
      <c r="B3" s="1" t="s">
        <v>582</v>
      </c>
      <c r="C3" s="1">
        <v>0.875</v>
      </c>
      <c r="D3" s="1">
        <v>9</v>
      </c>
      <c r="E3" s="1">
        <v>23.81</v>
      </c>
      <c r="F3" s="1">
        <v>38.1</v>
      </c>
      <c r="G3" s="1">
        <v>33.340000000000003</v>
      </c>
      <c r="H3" s="1"/>
      <c r="I3" s="1">
        <v>8</v>
      </c>
      <c r="J3" s="1">
        <v>0.315</v>
      </c>
      <c r="K3" s="1" t="s">
        <v>583</v>
      </c>
      <c r="L3" s="1"/>
      <c r="M3" s="1" t="s">
        <v>584</v>
      </c>
      <c r="N3" s="1">
        <v>9.5250000000000004</v>
      </c>
      <c r="O3" s="1">
        <v>0.71255739248085614</v>
      </c>
      <c r="P3" s="1"/>
      <c r="Q3" s="1" t="s">
        <v>585</v>
      </c>
      <c r="R3" s="1"/>
      <c r="S3" s="1" t="s">
        <v>48</v>
      </c>
      <c r="T3" s="1"/>
      <c r="U3" s="1">
        <v>80</v>
      </c>
      <c r="V3" s="1"/>
      <c r="W3" s="1">
        <v>4.8</v>
      </c>
      <c r="X3" s="1"/>
      <c r="Y3" s="1" t="s">
        <v>586</v>
      </c>
      <c r="Z3" s="1">
        <v>345</v>
      </c>
      <c r="AA3" s="1">
        <v>448</v>
      </c>
      <c r="AB3" s="1"/>
      <c r="AC3" s="1"/>
    </row>
    <row r="4" spans="1:29">
      <c r="A4" s="1">
        <v>25.4</v>
      </c>
      <c r="B4" s="1" t="s">
        <v>587</v>
      </c>
      <c r="C4" s="1">
        <v>1</v>
      </c>
      <c r="D4" s="1">
        <v>8</v>
      </c>
      <c r="E4" s="1">
        <v>27</v>
      </c>
      <c r="F4" s="1">
        <v>41.28</v>
      </c>
      <c r="G4" s="1">
        <v>38.1</v>
      </c>
      <c r="H4" s="1"/>
      <c r="I4" s="1">
        <v>9.5250000000000004</v>
      </c>
      <c r="J4" s="1">
        <v>0.375</v>
      </c>
      <c r="K4" s="1" t="s">
        <v>588</v>
      </c>
      <c r="L4" s="1"/>
      <c r="M4" s="1" t="s">
        <v>589</v>
      </c>
      <c r="N4" s="1">
        <v>12.7</v>
      </c>
      <c r="O4" s="1">
        <v>1.2667686977437442</v>
      </c>
      <c r="P4" s="1"/>
      <c r="Q4" s="1"/>
      <c r="R4" s="1"/>
      <c r="S4" s="1" t="s">
        <v>585</v>
      </c>
      <c r="T4" s="1"/>
      <c r="U4" s="1">
        <v>90</v>
      </c>
      <c r="V4" s="1"/>
      <c r="W4" s="1">
        <v>6.35</v>
      </c>
      <c r="X4" s="1"/>
      <c r="Y4" s="1" t="s">
        <v>203</v>
      </c>
      <c r="Z4" s="1"/>
      <c r="AA4" s="1">
        <v>840</v>
      </c>
      <c r="AB4" s="1"/>
      <c r="AC4" s="1"/>
    </row>
    <row r="5" spans="1:29">
      <c r="A5" s="1">
        <v>28.574999999999999</v>
      </c>
      <c r="B5" s="1" t="s">
        <v>590</v>
      </c>
      <c r="C5" s="1">
        <v>1.125</v>
      </c>
      <c r="D5" s="1">
        <v>7</v>
      </c>
      <c r="E5" s="1">
        <v>30.16</v>
      </c>
      <c r="F5" s="1">
        <v>47.63</v>
      </c>
      <c r="G5" s="1">
        <v>42.86</v>
      </c>
      <c r="H5" s="1"/>
      <c r="I5" s="1">
        <v>12.7</v>
      </c>
      <c r="J5" s="1">
        <v>0.5</v>
      </c>
      <c r="K5" s="1" t="s">
        <v>591</v>
      </c>
      <c r="L5" s="1"/>
      <c r="M5" s="1" t="s">
        <v>592</v>
      </c>
      <c r="N5" s="1">
        <v>15.875</v>
      </c>
      <c r="O5" s="1">
        <v>1.9793260902246004</v>
      </c>
      <c r="P5" s="1"/>
      <c r="Q5" s="1"/>
      <c r="R5" s="1"/>
      <c r="S5" s="1"/>
      <c r="T5" s="1"/>
      <c r="U5" s="1">
        <v>100</v>
      </c>
      <c r="V5" s="1"/>
      <c r="W5" s="1">
        <v>8</v>
      </c>
      <c r="X5" s="1"/>
      <c r="Y5" s="1" t="s">
        <v>593</v>
      </c>
      <c r="Z5" s="1">
        <v>420</v>
      </c>
      <c r="AA5" s="1"/>
      <c r="AB5" s="1"/>
      <c r="AC5" s="1"/>
    </row>
    <row r="6" spans="1:29">
      <c r="A6" s="1">
        <v>31.75</v>
      </c>
      <c r="B6" s="1" t="s">
        <v>594</v>
      </c>
      <c r="C6" s="1">
        <v>1.25</v>
      </c>
      <c r="D6" s="1">
        <v>7</v>
      </c>
      <c r="E6" s="1">
        <v>34.340000000000003</v>
      </c>
      <c r="F6" s="1">
        <v>53.98</v>
      </c>
      <c r="G6" s="1">
        <v>47.63</v>
      </c>
      <c r="H6" s="1"/>
      <c r="I6" s="1">
        <v>15.875</v>
      </c>
      <c r="J6" s="1">
        <v>0.625</v>
      </c>
      <c r="K6" s="1" t="s">
        <v>595</v>
      </c>
      <c r="L6" s="1"/>
      <c r="M6" s="1" t="s">
        <v>596</v>
      </c>
      <c r="N6" s="1">
        <v>19.05</v>
      </c>
      <c r="O6" s="1">
        <v>2.8502295699234246</v>
      </c>
      <c r="P6" s="1"/>
      <c r="Q6" s="1"/>
      <c r="R6" s="1"/>
      <c r="S6" s="1"/>
      <c r="T6" s="1"/>
      <c r="U6" s="1">
        <v>110</v>
      </c>
      <c r="V6" s="1"/>
      <c r="W6" s="1">
        <v>9.5</v>
      </c>
      <c r="X6" s="1"/>
      <c r="Y6" s="1"/>
      <c r="Z6" s="1"/>
      <c r="AA6" s="1"/>
      <c r="AB6" s="1"/>
      <c r="AC6" s="1"/>
    </row>
    <row r="7" spans="1:29">
      <c r="A7" s="1">
        <v>34.924999999999997</v>
      </c>
      <c r="B7" s="1" t="s">
        <v>597</v>
      </c>
      <c r="C7" s="1">
        <v>1.375</v>
      </c>
      <c r="D7" s="1">
        <v>6</v>
      </c>
      <c r="E7" s="1">
        <v>38.1</v>
      </c>
      <c r="F7" s="1">
        <v>57.15</v>
      </c>
      <c r="G7" s="1">
        <v>52.39</v>
      </c>
      <c r="H7" s="1"/>
      <c r="I7" s="1">
        <v>19.05</v>
      </c>
      <c r="J7" s="1">
        <v>0.75</v>
      </c>
      <c r="K7" s="1" t="s">
        <v>578</v>
      </c>
      <c r="L7" s="1"/>
      <c r="M7" s="1" t="s">
        <v>598</v>
      </c>
      <c r="N7" s="1">
        <v>22.225000000000001</v>
      </c>
      <c r="O7" s="1">
        <v>3.8794791368402173</v>
      </c>
      <c r="P7" s="1"/>
      <c r="Q7" s="1"/>
      <c r="R7" s="1"/>
      <c r="S7" s="1"/>
      <c r="T7" s="1"/>
      <c r="U7" s="1">
        <v>120</v>
      </c>
      <c r="V7" s="1"/>
      <c r="W7" s="1">
        <v>12.7</v>
      </c>
      <c r="X7" s="1"/>
      <c r="Y7" s="1"/>
      <c r="Z7" s="1"/>
      <c r="AA7" s="1"/>
      <c r="AB7" s="1"/>
      <c r="AC7" s="1"/>
    </row>
    <row r="8" spans="1:29">
      <c r="A8" s="1">
        <v>38.1</v>
      </c>
      <c r="B8" s="1" t="s">
        <v>599</v>
      </c>
      <c r="C8" s="1">
        <v>1.5</v>
      </c>
      <c r="D8" s="1">
        <v>6</v>
      </c>
      <c r="E8" s="1">
        <v>41.28</v>
      </c>
      <c r="F8" s="1">
        <v>63.5</v>
      </c>
      <c r="G8" s="1">
        <v>57.15</v>
      </c>
      <c r="H8" s="1"/>
      <c r="I8" s="1">
        <v>22.225000000000001</v>
      </c>
      <c r="J8" s="1">
        <v>0.875</v>
      </c>
      <c r="K8" s="1" t="s">
        <v>582</v>
      </c>
      <c r="L8" s="1"/>
      <c r="M8" s="1" t="s">
        <v>265</v>
      </c>
      <c r="N8" s="1">
        <v>25.4</v>
      </c>
      <c r="O8" s="1">
        <v>5.0670747909749769</v>
      </c>
      <c r="P8" s="1"/>
      <c r="Q8" s="1"/>
      <c r="R8" s="1"/>
      <c r="S8" s="1"/>
      <c r="T8" s="1"/>
      <c r="U8" s="1">
        <v>150</v>
      </c>
      <c r="V8" s="1"/>
      <c r="W8" s="1">
        <v>16</v>
      </c>
      <c r="X8" s="1"/>
      <c r="Y8" s="1"/>
      <c r="Z8" s="1"/>
      <c r="AA8" s="1"/>
      <c r="AB8" s="1"/>
      <c r="AC8" s="1"/>
    </row>
    <row r="9" spans="1:29">
      <c r="A9" s="1">
        <v>44.45</v>
      </c>
      <c r="B9" s="1" t="s">
        <v>600</v>
      </c>
      <c r="C9" s="1">
        <v>1.75</v>
      </c>
      <c r="D9" s="1">
        <v>5</v>
      </c>
      <c r="E9" s="1">
        <v>47.63</v>
      </c>
      <c r="F9" s="1">
        <v>69.849999999999994</v>
      </c>
      <c r="G9" s="1">
        <v>66.680000000000007</v>
      </c>
      <c r="H9" s="1"/>
      <c r="I9" s="1">
        <v>25.4</v>
      </c>
      <c r="J9" s="1">
        <v>1</v>
      </c>
      <c r="K9" s="1" t="s">
        <v>587</v>
      </c>
      <c r="L9" s="1"/>
      <c r="M9" s="1" t="s">
        <v>601</v>
      </c>
      <c r="N9" s="1">
        <v>28.65</v>
      </c>
      <c r="O9" s="1">
        <v>6.4467248397530197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">
        <v>50.8</v>
      </c>
      <c r="B10" s="1" t="s">
        <v>602</v>
      </c>
      <c r="C10" s="1">
        <v>2</v>
      </c>
      <c r="D10" s="1">
        <v>4.5</v>
      </c>
      <c r="E10" s="1">
        <v>53.98</v>
      </c>
      <c r="F10" s="1">
        <v>76.2</v>
      </c>
      <c r="G10" s="1">
        <v>76.2</v>
      </c>
      <c r="H10" s="1"/>
      <c r="I10" s="1">
        <v>31.75</v>
      </c>
      <c r="J10" s="1">
        <v>1.25</v>
      </c>
      <c r="K10" s="1" t="s">
        <v>594</v>
      </c>
      <c r="L10" s="1"/>
      <c r="M10" s="1" t="s">
        <v>603</v>
      </c>
      <c r="N10" s="1">
        <v>32.26</v>
      </c>
      <c r="O10" s="1">
        <v>8.1736983767376632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1"/>
      <c r="B11" s="1"/>
      <c r="C11" s="1"/>
      <c r="D11" s="1"/>
      <c r="E11" s="1"/>
      <c r="F11" s="1"/>
      <c r="G11" s="1"/>
      <c r="H11" s="1"/>
      <c r="I11" s="1">
        <v>38.1</v>
      </c>
      <c r="J11" s="1">
        <v>1.5</v>
      </c>
      <c r="K11" s="1" t="s">
        <v>599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/>
      <c r="B12" s="1"/>
      <c r="C12" s="1"/>
      <c r="D12" s="1"/>
      <c r="E12" s="1"/>
      <c r="F12" s="1"/>
      <c r="G12" s="1"/>
      <c r="H12" s="1"/>
      <c r="I12" s="1">
        <v>44.45</v>
      </c>
      <c r="J12" s="1">
        <v>1.75</v>
      </c>
      <c r="K12" s="1" t="s">
        <v>600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/>
      <c r="B13" s="1"/>
      <c r="C13" s="1"/>
      <c r="D13" s="1"/>
      <c r="E13" s="1"/>
      <c r="F13" s="1"/>
      <c r="G13" s="1"/>
      <c r="H13" s="1"/>
      <c r="I13" s="1">
        <v>50.8</v>
      </c>
      <c r="J13" s="1">
        <v>2</v>
      </c>
      <c r="K13" s="1" t="s">
        <v>602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"/>
      <c r="B14" s="1"/>
      <c r="C14" s="1"/>
      <c r="D14" s="1"/>
      <c r="E14" s="1"/>
      <c r="F14" s="1"/>
      <c r="G14" s="1"/>
      <c r="H14" s="1"/>
      <c r="I14" s="1">
        <v>57.15</v>
      </c>
      <c r="J14" s="1">
        <v>2.25</v>
      </c>
      <c r="K14" s="1" t="s">
        <v>604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"/>
      <c r="B15" s="1"/>
      <c r="C15" s="1"/>
      <c r="D15" s="1"/>
      <c r="E15" s="1"/>
      <c r="F15" s="1"/>
      <c r="G15" s="1"/>
      <c r="H15" s="1"/>
      <c r="I15" s="1">
        <v>63.5</v>
      </c>
      <c r="J15" s="1">
        <v>2.5</v>
      </c>
      <c r="K15" s="1" t="s">
        <v>605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/>
      <c r="B16" s="1"/>
      <c r="C16" s="1"/>
      <c r="D16" s="1"/>
      <c r="E16" s="1"/>
      <c r="F16" s="1"/>
      <c r="G16" s="1"/>
      <c r="H16" s="1"/>
      <c r="I16" s="1">
        <v>76.2</v>
      </c>
      <c r="J16" s="1">
        <v>3</v>
      </c>
      <c r="K16" s="1" t="s">
        <v>606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/>
      <c r="B17" s="1"/>
      <c r="C17" s="1"/>
      <c r="D17" s="1"/>
      <c r="E17" s="1"/>
      <c r="F17" s="1"/>
      <c r="G17" s="1"/>
      <c r="H17" s="1"/>
      <c r="I17" s="1">
        <v>88.9</v>
      </c>
      <c r="J17" s="1">
        <v>3.5</v>
      </c>
      <c r="K17" s="1" t="s">
        <v>607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1"/>
      <c r="C18" s="1"/>
      <c r="D18" s="1"/>
      <c r="E18" s="1"/>
      <c r="F18" s="1"/>
      <c r="G18" s="1"/>
      <c r="H18" s="1"/>
      <c r="I18" s="1">
        <v>101.6</v>
      </c>
      <c r="J18" s="1">
        <v>4</v>
      </c>
      <c r="K18" s="1" t="s">
        <v>608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00"/>
  <sheetViews>
    <sheetView workbookViewId="0"/>
  </sheetViews>
  <sheetFormatPr baseColWidth="10" defaultColWidth="8.6640625" defaultRowHeight="14"/>
  <cols>
    <col min="1" max="1" width="61.58203125" customWidth="1"/>
    <col min="2" max="2" width="178.6640625" customWidth="1"/>
  </cols>
  <sheetData>
    <row r="1" spans="1:29" ht="18">
      <c r="A1" s="22" t="s">
        <v>609</v>
      </c>
      <c r="B1" s="22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28">
      <c r="A2" s="9" t="s">
        <v>610</v>
      </c>
      <c r="B2" s="1" t="s">
        <v>611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9" t="s">
        <v>612</v>
      </c>
      <c r="B3" s="1" t="s">
        <v>613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9" t="s">
        <v>614</v>
      </c>
      <c r="B4" s="1" t="s">
        <v>615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9" t="s">
        <v>616</v>
      </c>
      <c r="B5" s="1" t="s">
        <v>617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9" t="s">
        <v>618</v>
      </c>
      <c r="B6" s="1" t="s">
        <v>619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DISENO_CONEXION</vt:lpstr>
      <vt:lpstr>PERFILES</vt:lpstr>
      <vt:lpstr>CATALOGOS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BEICKER YOMAYUSA</cp:lastModifiedBy>
  <dcterms:created xsi:type="dcterms:W3CDTF">2026-05-12T10:56:31Z</dcterms:created>
  <dcterms:modified xsi:type="dcterms:W3CDTF">2026-05-18T20:55:18Z</dcterms:modified>
</cp:coreProperties>
</file>